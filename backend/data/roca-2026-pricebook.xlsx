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floresc\Downloads\"/>
    </mc:Choice>
  </mc:AlternateContent>
  <xr:revisionPtr revIDLastSave="48" documentId="13_ncr:1_{E04A171D-05ED-47DA-9C04-6FFBFE6DCC7D}" xr6:coauthVersionLast="47" xr6:coauthVersionMax="47" xr10:uidLastSave="{27DEBF6B-FBDF-4975-910F-76EFB97DFBC0}"/>
  <bookViews>
    <workbookView xWindow="28680" yWindow="-120" windowWidth="29040" windowHeight="15720" firstSheet="1" activeTab="1" xr2:uid="{00000000-000D-0000-FFFF-FFFF00000000}"/>
  </bookViews>
  <sheets>
    <sheet name="2026 COVER" sheetId="1" r:id="rId1"/>
    <sheet name="2026 PRICING" sheetId="2" r:id="rId2"/>
    <sheet name="2026 SPECIAL ORDER PRICING" sheetId="3" r:id="rId3"/>
    <sheet name="2026 TERMS &amp; CONDITIONS" sheetId="4" r:id="rId4"/>
  </sheets>
  <definedNames>
    <definedName name="_xlnm.Print_Area" localSheetId="0">'2026 COVER'!$A$1:$K$39</definedName>
    <definedName name="_xlnm.Print_Area" localSheetId="1">'2026 PRICING'!$A$1:$N$1640</definedName>
    <definedName name="_xlnm.Print_Area" localSheetId="2">'2026 SPECIAL ORDER PRICING'!$A$1:$M$303</definedName>
    <definedName name="_xlnm.Print_Area" localSheetId="3">'2026 TERMS &amp; CONDITIONS'!$A$1:$J$82</definedName>
    <definedName name="PRICES" localSheetId="1">'2026 PRICING'!#REF!</definedName>
    <definedName name="PRICES" localSheetId="2">'2026 SPECIAL ORDER PRICING'!$B$22:$L$460</definedName>
    <definedName name="PRICES" localSheetId="3">#REF!</definedName>
    <definedName name="PRIC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47" i="2" l="1"/>
  <c r="L295" i="3"/>
  <c r="K295" i="3"/>
  <c r="I252" i="3"/>
  <c r="K238" i="3"/>
  <c r="L215" i="3"/>
  <c r="K215" i="3"/>
  <c r="I215" i="3"/>
  <c r="I211" i="3"/>
  <c r="L211" i="3" s="1"/>
  <c r="H211" i="3"/>
  <c r="K211" i="3" s="1"/>
  <c r="L179" i="3"/>
  <c r="K179" i="3"/>
  <c r="I179" i="3"/>
  <c r="I160" i="3"/>
  <c r="L160" i="3" s="1"/>
  <c r="H160" i="3"/>
  <c r="K160" i="3" s="1"/>
  <c r="L154" i="3"/>
  <c r="K154" i="3"/>
  <c r="I154" i="3"/>
  <c r="H151" i="3"/>
  <c r="L139" i="3"/>
  <c r="K139" i="3"/>
  <c r="I139" i="3"/>
  <c r="K126" i="3"/>
  <c r="I126" i="3"/>
  <c r="L126" i="3" s="1"/>
  <c r="L115" i="3"/>
  <c r="H115" i="3"/>
  <c r="L112" i="3"/>
  <c r="H112" i="3"/>
  <c r="L109" i="3"/>
  <c r="H109" i="3"/>
  <c r="L96" i="3"/>
  <c r="K96" i="3"/>
  <c r="I96" i="3"/>
  <c r="H96" i="3"/>
  <c r="L90" i="3"/>
  <c r="H90" i="3"/>
  <c r="L87" i="3"/>
  <c r="H87" i="3"/>
  <c r="H84" i="3"/>
  <c r="H81" i="3"/>
  <c r="L65" i="3"/>
  <c r="K65" i="3"/>
  <c r="L60" i="3"/>
  <c r="K60" i="3"/>
  <c r="I60" i="3"/>
  <c r="H60" i="3"/>
  <c r="I50" i="3"/>
  <c r="L50" i="3" s="1"/>
  <c r="H50" i="3"/>
  <c r="K50" i="3" s="1"/>
  <c r="J1514" i="2"/>
  <c r="L1512" i="2"/>
  <c r="J1512" i="2"/>
  <c r="J1467" i="2"/>
  <c r="J1462" i="2"/>
  <c r="L1455" i="2"/>
  <c r="J1455" i="2"/>
  <c r="L1403" i="2"/>
  <c r="J1403" i="2"/>
  <c r="L1401" i="2"/>
  <c r="J1401" i="2"/>
  <c r="J1397" i="2"/>
  <c r="J1393" i="2"/>
  <c r="J1389" i="2"/>
  <c r="J1235" i="2"/>
  <c r="J1203" i="2"/>
  <c r="J1202" i="2"/>
  <c r="M1191" i="2"/>
  <c r="L1191" i="2"/>
  <c r="J1173" i="2"/>
  <c r="M1173" i="2" s="1"/>
  <c r="I1173" i="2"/>
  <c r="L1173" i="2" s="1"/>
  <c r="J1164" i="2"/>
  <c r="M1164" i="2" s="1"/>
  <c r="L1162" i="2"/>
  <c r="J1162" i="2"/>
  <c r="M1162" i="2" s="1"/>
  <c r="M1153" i="2"/>
  <c r="L1153" i="2"/>
  <c r="M1130" i="2"/>
  <c r="L1130" i="2"/>
  <c r="M1126" i="2"/>
  <c r="L1126" i="2"/>
  <c r="L1109" i="2"/>
  <c r="M1108" i="2"/>
  <c r="L1108" i="2"/>
  <c r="L1104" i="2"/>
  <c r="L1103" i="2"/>
  <c r="M1102" i="2"/>
  <c r="L1102" i="2"/>
  <c r="L1093" i="2"/>
  <c r="M1092" i="2"/>
  <c r="L1091" i="2"/>
  <c r="M1020" i="2"/>
  <c r="L1020" i="2"/>
  <c r="I945" i="2"/>
  <c r="M940" i="2"/>
  <c r="L940" i="2"/>
  <c r="L938" i="2"/>
  <c r="J840" i="2"/>
  <c r="J834" i="2"/>
  <c r="J829" i="2"/>
  <c r="J814" i="2"/>
  <c r="M787" i="2"/>
  <c r="L787" i="2"/>
  <c r="M783" i="2"/>
  <c r="L783" i="2"/>
  <c r="L768" i="2"/>
  <c r="J768" i="2"/>
  <c r="L552" i="2"/>
  <c r="J552" i="2"/>
  <c r="L346" i="2"/>
  <c r="J346" i="2"/>
  <c r="J262" i="2"/>
  <c r="L252" i="2"/>
  <c r="J252" i="2"/>
  <c r="J149" i="2"/>
  <c r="L114" i="2"/>
  <c r="J114" i="2"/>
  <c r="L100" i="2"/>
  <c r="J100" i="2"/>
  <c r="M95" i="2"/>
  <c r="I95" i="2"/>
  <c r="L95" i="2" s="1"/>
  <c r="L91" i="2"/>
  <c r="L89" i="2"/>
  <c r="M87" i="2"/>
  <c r="L87" i="2"/>
  <c r="L85" i="2"/>
  <c r="J32" i="2"/>
  <c r="J28" i="2"/>
</calcChain>
</file>

<file path=xl/sharedStrings.xml><?xml version="1.0" encoding="utf-8"?>
<sst xmlns="http://schemas.openxmlformats.org/spreadsheetml/2006/main" count="6467" uniqueCount="3471">
  <si>
    <t>2026 ROCA PRICE BOOK</t>
  </si>
  <si>
    <t>ABACO</t>
  </si>
  <si>
    <t>ESSENCE</t>
  </si>
  <si>
    <t>PINE</t>
  </si>
  <si>
    <t>ABBEY</t>
  </si>
  <si>
    <t>EVERGLADE</t>
  </si>
  <si>
    <t>PORT NOIR</t>
  </si>
  <si>
    <t>ALASKA</t>
  </si>
  <si>
    <t>FEATHERS</t>
  </si>
  <si>
    <t>POSITANO</t>
  </si>
  <si>
    <t>ARTESANO</t>
  </si>
  <si>
    <t>FLOW</t>
  </si>
  <si>
    <t>PRO</t>
  </si>
  <si>
    <t>ATLAS</t>
  </si>
  <si>
    <t>GROOVE</t>
  </si>
  <si>
    <t>PRO MAX</t>
  </si>
  <si>
    <t>AURA</t>
  </si>
  <si>
    <t>HAVANA</t>
  </si>
  <si>
    <t>ROCKART</t>
  </si>
  <si>
    <t>AVALON</t>
  </si>
  <si>
    <t>JEWELS</t>
  </si>
  <si>
    <t>SAVOY</t>
  </si>
  <si>
    <t>AVENUE</t>
  </si>
  <si>
    <t>JOY</t>
  </si>
  <si>
    <t>SEATTLE</t>
  </si>
  <si>
    <t>BALTIC</t>
  </si>
  <si>
    <t>JUNE</t>
  </si>
  <si>
    <t>SERENA</t>
  </si>
  <si>
    <t>BAR TILE</t>
  </si>
  <si>
    <t>LAGOM</t>
  </si>
  <si>
    <t>SERPENTINO</t>
  </si>
  <si>
    <t>BATH FIXTURES</t>
  </si>
  <si>
    <t>LASSA</t>
  </si>
  <si>
    <t>SLABS</t>
  </si>
  <si>
    <t>BIANCO VENATINO</t>
  </si>
  <si>
    <t>LEGEND</t>
  </si>
  <si>
    <t>XL SLABS</t>
  </si>
  <si>
    <t>BLOCK</t>
  </si>
  <si>
    <t>LITHOLOGY</t>
  </si>
  <si>
    <t>ST. TROPEZ</t>
  </si>
  <si>
    <t>BOHEME</t>
  </si>
  <si>
    <t>LIVERPOOL</t>
  </si>
  <si>
    <t>STARDUST</t>
  </si>
  <si>
    <t>BRICKELL</t>
  </si>
  <si>
    <t>MAGNOLIA</t>
  </si>
  <si>
    <t>STATUARY</t>
  </si>
  <si>
    <t>CALACATA GOLD</t>
  </si>
  <si>
    <t>MAIOLICA</t>
  </si>
  <si>
    <t>19-20</t>
  </si>
  <si>
    <t>STATUARY WALL</t>
  </si>
  <si>
    <t>CALYPSO</t>
  </si>
  <si>
    <t>MARBLE DOLOMITA</t>
  </si>
  <si>
    <t>STONE BASEL</t>
  </si>
  <si>
    <t>CARVE</t>
  </si>
  <si>
    <t>MARBLE PLATINUM</t>
  </si>
  <si>
    <t>TEGEL</t>
  </si>
  <si>
    <t>CASABLANCA</t>
  </si>
  <si>
    <t>MARBLE LINCOLN</t>
  </si>
  <si>
    <t>TERRANOVA</t>
  </si>
  <si>
    <t>CC COSMOS</t>
  </si>
  <si>
    <t>MAYNE</t>
  </si>
  <si>
    <t>TISSUE</t>
  </si>
  <si>
    <t>CC FRAMES</t>
  </si>
  <si>
    <t>METALS</t>
  </si>
  <si>
    <t>TREVI</t>
  </si>
  <si>
    <t>CC MOSAICS</t>
  </si>
  <si>
    <t>NOLITA</t>
  </si>
  <si>
    <t>UNIQUE GROUND</t>
  </si>
  <si>
    <t>CC MOSAIC +</t>
  </si>
  <si>
    <t>NORDICO</t>
  </si>
  <si>
    <t>VENATO</t>
  </si>
  <si>
    <t>CC PORCELAIN</t>
  </si>
  <si>
    <t>NORTHWOOD</t>
  </si>
  <si>
    <t>WESTON</t>
  </si>
  <si>
    <t>CC TEXTURES</t>
  </si>
  <si>
    <t>OLARIA</t>
  </si>
  <si>
    <t>WIND</t>
  </si>
  <si>
    <t>COLONIAL</t>
  </si>
  <si>
    <t>7</t>
  </si>
  <si>
    <t>OLD FASHIONED</t>
  </si>
  <si>
    <t>WINTER</t>
  </si>
  <si>
    <t>COLOR COLLECTION</t>
  </si>
  <si>
    <t>08-13</t>
  </si>
  <si>
    <t>OMBRE</t>
  </si>
  <si>
    <t>ZELLIGE</t>
  </si>
  <si>
    <t>CRYSTAL</t>
  </si>
  <si>
    <t>ONICE SUPREME</t>
  </si>
  <si>
    <t>ZEN</t>
  </si>
  <si>
    <t>DECORATIVE ACCENTS</t>
  </si>
  <si>
    <t>ONYX</t>
  </si>
  <si>
    <t>ZEN STONE</t>
  </si>
  <si>
    <t>DERBY</t>
  </si>
  <si>
    <t>ORION</t>
  </si>
  <si>
    <t>SPECIAL ORDER</t>
  </si>
  <si>
    <t>DOWNTOWN</t>
  </si>
  <si>
    <t>PAVERS</t>
  </si>
  <si>
    <t>EPOQUE</t>
  </si>
  <si>
    <t>PIASENTINA</t>
  </si>
  <si>
    <t>PIGMENT</t>
  </si>
  <si>
    <t>STACKED TENDER GRAY 12"X12" MOSAIC</t>
  </si>
  <si>
    <r>
      <t xml:space="preserve">ABACO    </t>
    </r>
    <r>
      <rPr>
        <sz val="12"/>
        <rFont val="Roca Light"/>
        <family val="3"/>
      </rPr>
      <t>- GLAZED PORCELAIN</t>
    </r>
  </si>
  <si>
    <t>CARTON</t>
  </si>
  <si>
    <t>PALLET</t>
  </si>
  <si>
    <t>SKU</t>
  </si>
  <si>
    <t>SIZE</t>
  </si>
  <si>
    <t>SKU DESCRIPTION</t>
  </si>
  <si>
    <t>UOM</t>
  </si>
  <si>
    <t>PRICE</t>
  </si>
  <si>
    <t>PC</t>
  </si>
  <si>
    <t>SF</t>
  </si>
  <si>
    <t>LBS</t>
  </si>
  <si>
    <t>BXS</t>
  </si>
  <si>
    <t>FLOOR</t>
  </si>
  <si>
    <t>FWM0A57371</t>
  </si>
  <si>
    <t>12X24 FIELD</t>
  </si>
  <si>
    <t>ABACO ARENA 12"x24" R</t>
  </si>
  <si>
    <t>FWM0A57021</t>
  </si>
  <si>
    <t>ABACO GRIS 12"x24" R</t>
  </si>
  <si>
    <t>FWM0A54371</t>
  </si>
  <si>
    <t>24X48 FIELD</t>
  </si>
  <si>
    <t>ABACO ARENA 24"x48" R</t>
  </si>
  <si>
    <t>FWM0A54021</t>
  </si>
  <si>
    <t>ABACO GRIS 24"x48" R</t>
  </si>
  <si>
    <r>
      <t xml:space="preserve">ABBEY   </t>
    </r>
    <r>
      <rPr>
        <sz val="12"/>
        <rFont val="Roca Light"/>
        <family val="3"/>
      </rPr>
      <t>- GLAZED PORCELAIN &amp; CERAMIC WALL</t>
    </r>
  </si>
  <si>
    <t>FN80H6O831</t>
  </si>
  <si>
    <t>8X48 FIELD</t>
  </si>
  <si>
    <t>ABBEY FRESNO 8X48R</t>
  </si>
  <si>
    <t>12.92</t>
  </si>
  <si>
    <t>FN80H6O741</t>
  </si>
  <si>
    <t>ABBEY ROBLE 8X48R</t>
  </si>
  <si>
    <t>FN80A6O141*</t>
  </si>
  <si>
    <t>ABBEY VISON 8X48R</t>
  </si>
  <si>
    <t>FN80H6O141</t>
  </si>
  <si>
    <t>FN80H6O021</t>
  </si>
  <si>
    <t>ABBEY GRIS 8X48R</t>
  </si>
  <si>
    <t>FN80A6O021*</t>
  </si>
  <si>
    <t>FN80C6O831</t>
  </si>
  <si>
    <t>ABBEY FRESNO 8X48R ABS</t>
  </si>
  <si>
    <t>69.30</t>
  </si>
  <si>
    <t>FN80I6O741</t>
  </si>
  <si>
    <t>ABBEY ROBLE 8X48R ABS</t>
  </si>
  <si>
    <t>FN80I6O021</t>
  </si>
  <si>
    <t>ABBEY GRIS 8X48R ABS</t>
  </si>
  <si>
    <t>WALL</t>
  </si>
  <si>
    <t>FN8A0AW371</t>
  </si>
  <si>
    <t>SUITE ABBEY ROBLE  12"x36" R</t>
  </si>
  <si>
    <r>
      <rPr>
        <b/>
        <sz val="24"/>
        <color rgb="FF000000"/>
        <rFont val="Roca Light"/>
      </rPr>
      <t xml:space="preserve">ALASKA   </t>
    </r>
    <r>
      <rPr>
        <sz val="12"/>
        <color rgb="FF000000"/>
        <rFont val="Roca Light"/>
      </rPr>
      <t xml:space="preserve"> - POLISHED PORCELAIN</t>
    </r>
  </si>
  <si>
    <t>GFALAWH-2448PO</t>
  </si>
  <si>
    <t>ALASKA WHITE 24"X48" R PO</t>
  </si>
  <si>
    <r>
      <rPr>
        <b/>
        <sz val="24"/>
        <color rgb="FF000000"/>
        <rFont val="Roca Light"/>
      </rPr>
      <t xml:space="preserve">ALBA   </t>
    </r>
    <r>
      <rPr>
        <sz val="12"/>
        <color rgb="FF000000"/>
        <rFont val="Roca Light"/>
      </rPr>
      <t xml:space="preserve"> - GLAZED PORCELAIN &amp; CERAMIC WALL</t>
    </r>
  </si>
  <si>
    <t>NEW 2026</t>
  </si>
  <si>
    <t>UALBABI12AV</t>
  </si>
  <si>
    <t>8X8 FIELD</t>
  </si>
  <si>
    <t>ALBA BIANCO MT 8X8</t>
  </si>
  <si>
    <t>UALBANE12AW</t>
  </si>
  <si>
    <t>ALBA NOITE MT 8X8</t>
  </si>
  <si>
    <t>UALBACR12AE1</t>
  </si>
  <si>
    <t>ALBA CREMA MT 8X8</t>
  </si>
  <si>
    <t>UALBAAV12AU</t>
  </si>
  <si>
    <t>ALBA AVORIO MT 8X8</t>
  </si>
  <si>
    <t>UALBANE128W</t>
  </si>
  <si>
    <t>2X8 FIELD</t>
  </si>
  <si>
    <t>ALBA NERO MG 2X8</t>
  </si>
  <si>
    <t>UALBABI128V</t>
  </si>
  <si>
    <t>ALBA BIANCO MG 2X8</t>
  </si>
  <si>
    <t>UALBACR128E</t>
  </si>
  <si>
    <t>ALBA CREMA MG 2X8</t>
  </si>
  <si>
    <t>UALBAAV128U</t>
  </si>
  <si>
    <t>ALBA AVORIO MG 2X8</t>
  </si>
  <si>
    <t>UALBANB128W</t>
  </si>
  <si>
    <t>ALBA NERO BG 2X8</t>
  </si>
  <si>
    <t>UALBABB128V</t>
  </si>
  <si>
    <t>ALBA BIANCO BG 2X8</t>
  </si>
  <si>
    <t>UALBABR128E</t>
  </si>
  <si>
    <t>ALBA CREMA BG 2X8</t>
  </si>
  <si>
    <t>UALBABV128U</t>
  </si>
  <si>
    <t>ALBA AVORIO BG 2X8</t>
  </si>
  <si>
    <t>UALBABE312W</t>
  </si>
  <si>
    <t>3X12 FIELD</t>
  </si>
  <si>
    <t>ALBA NOITE MG 3X12</t>
  </si>
  <si>
    <t>30.7</t>
  </si>
  <si>
    <t>1061.76</t>
  </si>
  <si>
    <t>2578.8</t>
  </si>
  <si>
    <t>UALBABM312V</t>
  </si>
  <si>
    <t>ALBA BIANCO MG 3X12</t>
  </si>
  <si>
    <t>UALBACM312E</t>
  </si>
  <si>
    <t>ALBA CREMA MG 3X12</t>
  </si>
  <si>
    <t>UALBAAM312U</t>
  </si>
  <si>
    <t>ALBA AVORIO MG 3X12</t>
  </si>
  <si>
    <t>UALBANM312W</t>
  </si>
  <si>
    <t>ALBA NOITE BG 3X12</t>
  </si>
  <si>
    <t>UALBABB312V</t>
  </si>
  <si>
    <t>ALBA BIANCO BG 3X12</t>
  </si>
  <si>
    <t>UALBACB312E</t>
  </si>
  <si>
    <t>ALBA CREMA BG 3X12</t>
  </si>
  <si>
    <t>UALBAAB312U</t>
  </si>
  <si>
    <t>ALBA AVORIO BG 3X12</t>
  </si>
  <si>
    <r>
      <rPr>
        <b/>
        <sz val="24"/>
        <color rgb="FF000000"/>
        <rFont val="Roca Light"/>
      </rPr>
      <t xml:space="preserve">AMBER   </t>
    </r>
    <r>
      <rPr>
        <sz val="22"/>
        <color rgb="FF000000"/>
        <rFont val="Roca Light"/>
      </rPr>
      <t xml:space="preserve"> </t>
    </r>
    <r>
      <rPr>
        <sz val="12"/>
        <color rgb="FF000000"/>
        <rFont val="Roca Light"/>
      </rPr>
      <t>- CERAMIC WALL</t>
    </r>
  </si>
  <si>
    <t>UAMBER1220V</t>
  </si>
  <si>
    <t>2X20 FIELD</t>
  </si>
  <si>
    <t>AMBER OPAL BG 2X20</t>
  </si>
  <si>
    <t>2,062.8</t>
  </si>
  <si>
    <t>UAMBER1220E</t>
  </si>
  <si>
    <t>AMBER SANDSTONE BG 2X20</t>
  </si>
  <si>
    <t>UAMBER1220G</t>
  </si>
  <si>
    <t>AMBER COPPER BG 2X20</t>
  </si>
  <si>
    <t>UAMBER1220Z</t>
  </si>
  <si>
    <t>AMBER SAPPHIRE BG 2X20</t>
  </si>
  <si>
    <t>UAMBER1220S</t>
  </si>
  <si>
    <t>AMBER EMERALD BG 2X20</t>
  </si>
  <si>
    <t>UAMBER1220O</t>
  </si>
  <si>
    <t>AMBER RUBY BG 2X20</t>
  </si>
  <si>
    <r>
      <t>ARTESANO</t>
    </r>
    <r>
      <rPr>
        <sz val="12"/>
        <rFont val="Roca Light"/>
        <family val="3"/>
      </rPr>
      <t xml:space="preserve">        - CERAMIC WALL</t>
    </r>
  </si>
  <si>
    <t>CERAMIC WALL</t>
  </si>
  <si>
    <t>UARBLABG312</t>
  </si>
  <si>
    <t>ARTESANO BLACK BG 3X12</t>
  </si>
  <si>
    <t>UARBLAMG312</t>
  </si>
  <si>
    <t>ARTESANO BLACK MG 3X12</t>
  </si>
  <si>
    <t>UARWHIBG312</t>
  </si>
  <si>
    <t>ARTESANO WHITE ICE BG 3X12</t>
  </si>
  <si>
    <t>UARWHIMG312</t>
  </si>
  <si>
    <t>ARTESANO WHITE ICE MG 3X12</t>
  </si>
  <si>
    <t>UARNEUBG312</t>
  </si>
  <si>
    <t>ARTESANO NEU GRAY BG 3X12</t>
  </si>
  <si>
    <t>UARBISBG312</t>
  </si>
  <si>
    <t>ARTESANO BISCUIT BG 3X12</t>
  </si>
  <si>
    <t>UARBISBN312</t>
  </si>
  <si>
    <t>3X12 BULLNOSE</t>
  </si>
  <si>
    <t>ARTESANO BISCUIT BG 3X12 BN</t>
  </si>
  <si>
    <t>UARBLABN312</t>
  </si>
  <si>
    <t>ARTESANO BLACK BG 3X12 BN</t>
  </si>
  <si>
    <t>UARBLMBN312</t>
  </si>
  <si>
    <t>ARTESANO BLACK MG 3X12 BN</t>
  </si>
  <si>
    <t>UARWHIBN312</t>
  </si>
  <si>
    <t>ARTESANO WHITE ICE BG 3X12 BN</t>
  </si>
  <si>
    <t>UARWHMBN312</t>
  </si>
  <si>
    <t>ARTESANO WHITE ICE MG 3X12 BN</t>
  </si>
  <si>
    <t>UARNEUBN312</t>
  </si>
  <si>
    <t>ARTESANO NEU GRAY BG 3X12 BN</t>
  </si>
  <si>
    <r>
      <t xml:space="preserve">AURA   </t>
    </r>
    <r>
      <rPr>
        <sz val="12"/>
        <rFont val="Roca Light"/>
        <family val="3"/>
      </rPr>
      <t>- CERAMIC WALL</t>
    </r>
  </si>
  <si>
    <t>UAURABG312V</t>
  </si>
  <si>
    <t>4X12 FIELD</t>
  </si>
  <si>
    <t>AURA SEASHELL BG 4X12</t>
  </si>
  <si>
    <t>UAURABG312C</t>
  </si>
  <si>
    <t>AURA OCEAN BLUE BG 4X12</t>
  </si>
  <si>
    <t>UAURABG312S</t>
  </si>
  <si>
    <t>AURA AQUAMARINE BG 4X12</t>
  </si>
  <si>
    <t>* We are going through a change of thickness, if the original code has no stock please review the following below</t>
  </si>
  <si>
    <r>
      <rPr>
        <b/>
        <sz val="24"/>
        <color rgb="FF000000"/>
        <rFont val="Roca Bold"/>
      </rPr>
      <t>AVALON</t>
    </r>
    <r>
      <rPr>
        <sz val="12"/>
        <color rgb="FF000000"/>
        <rFont val="Roca Light"/>
        <family val="3"/>
      </rPr>
      <t>-GLAZED PORCELAIN &amp; CERAMICWALL</t>
    </r>
  </si>
  <si>
    <t>F1OE030011</t>
  </si>
  <si>
    <t>12X12 MOSAIC</t>
  </si>
  <si>
    <t>AVALON BLANCO 12X12 MOSAIC</t>
  </si>
  <si>
    <t>F1OE030371</t>
  </si>
  <si>
    <t>AVALON ARENA 12X12 MOSAIC</t>
  </si>
  <si>
    <t>F1O0B57011</t>
  </si>
  <si>
    <t>AVALON BLANCO 12X24 R</t>
  </si>
  <si>
    <t>F1O0B57371</t>
  </si>
  <si>
    <t>AVALON ARENA 12X24 R</t>
  </si>
  <si>
    <t>F1O0B60011</t>
  </si>
  <si>
    <t>24X24 FIELD</t>
  </si>
  <si>
    <t>AVALON BLANCO 24X24 R</t>
  </si>
  <si>
    <t>F1O0B60371</t>
  </si>
  <si>
    <t>AVALON ARENA 24X24 R</t>
  </si>
  <si>
    <t>F1O0B54011</t>
  </si>
  <si>
    <t>AVALON BLANCO 24X48R</t>
  </si>
  <si>
    <t>F1O0B54371</t>
  </si>
  <si>
    <t>AVALON ARENA 24X48 R</t>
  </si>
  <si>
    <t>F1O0B4O011</t>
  </si>
  <si>
    <t>48X48 FIELD</t>
  </si>
  <si>
    <t>AVALON BLANCO 48X48R</t>
  </si>
  <si>
    <t>F1O0B4O371</t>
  </si>
  <si>
    <t>AVALON ARENA 48X48 R</t>
  </si>
  <si>
    <t>F1O237U011</t>
  </si>
  <si>
    <t>24X36 FIELD</t>
  </si>
  <si>
    <t>AVALON BLANCO 24x36R 20MM</t>
  </si>
  <si>
    <t>F1O237U371</t>
  </si>
  <si>
    <t>AVALON ARENA 24x36R 20MM</t>
  </si>
  <si>
    <t>F1OA1AW011</t>
  </si>
  <si>
    <t>12X36 FIELD</t>
  </si>
  <si>
    <t>SUITE AVALON BLANCO 12X36 R</t>
  </si>
  <si>
    <t>F1OA1AW371</t>
  </si>
  <si>
    <t>SUITE AVALON ARENA 12X36 R</t>
  </si>
  <si>
    <r>
      <rPr>
        <b/>
        <sz val="24"/>
        <color rgb="FF000000"/>
        <rFont val="Roca Bold"/>
      </rPr>
      <t>AVENUE</t>
    </r>
    <r>
      <rPr>
        <sz val="12"/>
        <color rgb="FF000000"/>
        <rFont val="Roca Light"/>
        <family val="3"/>
      </rPr>
      <t>-GLAZED PORCELAIN</t>
    </r>
  </si>
  <si>
    <t>UAVENU2121E</t>
  </si>
  <si>
    <t>21X21 FIELD</t>
  </si>
  <si>
    <t>AVENUE GOLD 21X21 UP</t>
  </si>
  <si>
    <t>UAVENU2121I</t>
  </si>
  <si>
    <t>AVENUE GRAY 21X21 UP</t>
  </si>
  <si>
    <r>
      <t xml:space="preserve">BALTIC </t>
    </r>
    <r>
      <rPr>
        <sz val="12"/>
        <rFont val="Roca Light"/>
        <family val="3"/>
      </rPr>
      <t xml:space="preserve">   - COLOR BODY PORCELAIN</t>
    </r>
  </si>
  <si>
    <t>UBALTIMT6HI</t>
  </si>
  <si>
    <t>BALTIC GRANITE MT 12X24R</t>
  </si>
  <si>
    <t>UBALTIMT6HU</t>
  </si>
  <si>
    <t>BALTIC SAND MT 12X24 R</t>
  </si>
  <si>
    <t>UBALTIMT6HE</t>
  </si>
  <si>
    <t>BALTIC TAN MT 12X24R</t>
  </si>
  <si>
    <t>UBALTIMTLBI</t>
  </si>
  <si>
    <t>BALTIC GRANITE MT 24X48R</t>
  </si>
  <si>
    <t>UBALTIMTLBU</t>
  </si>
  <si>
    <t>BALTIC SAND MT 24X48R</t>
  </si>
  <si>
    <t>UBALTIMTLBE</t>
  </si>
  <si>
    <t>BALTIC TAN MT 24X48R</t>
  </si>
  <si>
    <t>UBALTIWALBI</t>
  </si>
  <si>
    <t>SUITE BALTIC GRANITE MT 24X48R</t>
  </si>
  <si>
    <t>307.6</t>
  </si>
  <si>
    <t>1609.4</t>
  </si>
  <si>
    <t>UBALTIWALBU</t>
  </si>
  <si>
    <t>SUITE BALTIC SAND MT 24X48R</t>
  </si>
  <si>
    <t>UBALTIWALBE</t>
  </si>
  <si>
    <t>SUITE BALTIC TAN MT 24X48R</t>
  </si>
  <si>
    <t>UBALTI1212I</t>
  </si>
  <si>
    <t>BALTIC GRANITE 12X12 STRIPE MOS</t>
  </si>
  <si>
    <t>UBALTI1212U</t>
  </si>
  <si>
    <t>BALTIC SAND 12X12 STRIPE MOS</t>
  </si>
  <si>
    <t>UBALTI1212E</t>
  </si>
  <si>
    <t>BALTIC TAN 12X12 STRIPE MOS</t>
  </si>
  <si>
    <r>
      <t xml:space="preserve">BAR TILE </t>
    </r>
    <r>
      <rPr>
        <sz val="12"/>
        <rFont val="Roca Light"/>
        <family val="3"/>
      </rPr>
      <t xml:space="preserve">   - CERAMIC WALL</t>
    </r>
  </si>
  <si>
    <t>UBTOSLBG312</t>
  </si>
  <si>
    <t>BAR TILE OSLO BG 3X12</t>
  </si>
  <si>
    <t>UBTHAVBG312</t>
  </si>
  <si>
    <t>BAR TILE HAVRE BG 3X12</t>
  </si>
  <si>
    <t>UBTGLABG312</t>
  </si>
  <si>
    <t>BAR TILE GLASGOW BG 3X12</t>
  </si>
  <si>
    <t>UBTNUUBG312</t>
  </si>
  <si>
    <t>BAR TILE NUUK BG 3X12</t>
  </si>
  <si>
    <t>UBTLISBG312</t>
  </si>
  <si>
    <t>BAR TILE LISBON BG 3X12</t>
  </si>
  <si>
    <t>TRIM</t>
  </si>
  <si>
    <t>UBTLISBN312</t>
  </si>
  <si>
    <t>BAR TILE LISBON BG 3X12 BN</t>
  </si>
  <si>
    <t>12.64</t>
  </si>
  <si>
    <t>UBTNUUBN312</t>
  </si>
  <si>
    <t>BAR TILE NUUK BG 3X12 BN</t>
  </si>
  <si>
    <t>UBTGLABN312</t>
  </si>
  <si>
    <t>BAR TILE GLASGOW BG 3X12 BN</t>
  </si>
  <si>
    <t>UBTHAVBN312</t>
  </si>
  <si>
    <t>BAR TILE HAVRE BG 3X12 BN</t>
  </si>
  <si>
    <t>UBTOSLBN312</t>
  </si>
  <si>
    <t>BAR TILE OSLO BG 3X12 BN</t>
  </si>
  <si>
    <r>
      <t xml:space="preserve">BATH FIXTURES    </t>
    </r>
    <r>
      <rPr>
        <sz val="12"/>
        <color rgb="FF000000"/>
        <rFont val="Roca Light"/>
        <family val="3"/>
      </rPr>
      <t xml:space="preserve">- CERAMIC </t>
    </r>
  </si>
  <si>
    <t>ZSANW1010T</t>
  </si>
  <si>
    <t>4X6 TUB SOAP DISH</t>
  </si>
  <si>
    <t>4X6 WHITE TUB SOAP DISH</t>
  </si>
  <si>
    <t>N/A</t>
  </si>
  <si>
    <t>ZSANB1010T</t>
  </si>
  <si>
    <t>4X6 BONE TUB SOAP DISH</t>
  </si>
  <si>
    <t>ZSANW1020T</t>
  </si>
  <si>
    <t>4X6 TOILET TISSUE HOLDER</t>
  </si>
  <si>
    <t>4X6 WHITE TOILET TISSUE HOLDER</t>
  </si>
  <si>
    <t>ZSANB1020T</t>
  </si>
  <si>
    <t>4X6 BONE TOILET TISSUE HOLDER</t>
  </si>
  <si>
    <t>ZSANW1050T</t>
  </si>
  <si>
    <t>8 1/2X8 1/2 LG CRN SHELF</t>
  </si>
  <si>
    <t>8 1/2X8 1/2 WHITE LG CRN SHELF</t>
  </si>
  <si>
    <t>ZSANB1050T</t>
  </si>
  <si>
    <t>8 1/2X8 1/2 BONE LG CRN SHELF</t>
  </si>
  <si>
    <t>ZSANW1040T</t>
  </si>
  <si>
    <t>7X7  CORNER SHELF</t>
  </si>
  <si>
    <t>7X7 WHITE CRN SHELF</t>
  </si>
  <si>
    <t>ZSANW5030T</t>
  </si>
  <si>
    <t>24" TOWEL BAR SET</t>
  </si>
  <si>
    <t>24" WHITE TOWEL BAR SET</t>
  </si>
  <si>
    <t>ZSANB5030T</t>
  </si>
  <si>
    <t>24" BONE TOWEL BAR SET</t>
  </si>
  <si>
    <r>
      <rPr>
        <b/>
        <sz val="24"/>
        <rFont val="Roca Light"/>
        <family val="3"/>
      </rPr>
      <t>BIANCO VENATINO</t>
    </r>
    <r>
      <rPr>
        <sz val="12"/>
        <rFont val="Roca Light"/>
        <family val="3"/>
      </rPr>
      <t xml:space="preserve">          - GLAZED &amp; POLISHED PORCELAIN</t>
    </r>
  </si>
  <si>
    <t>UFBIAV-1224</t>
  </si>
  <si>
    <t>BIANCO VENATINO UP 12X24 R</t>
  </si>
  <si>
    <t>UFBIAV-1224PO</t>
  </si>
  <si>
    <t>BIANCO VENATINO PO 12X24 R</t>
  </si>
  <si>
    <t>UFBIAV-24</t>
  </si>
  <si>
    <t>BIANCO VENATINO UP 24X24 R</t>
  </si>
  <si>
    <t>UFBIAV-24PO</t>
  </si>
  <si>
    <t>BIANCO VENATINO PO 24X24 R</t>
  </si>
  <si>
    <t>UBIAVMT2448R</t>
  </si>
  <si>
    <t>BIANCO VENATINO UP 24X48 R</t>
  </si>
  <si>
    <t>UBIAVPO2448R</t>
  </si>
  <si>
    <t>BIANCO VENATINO PO 24X48 R</t>
  </si>
  <si>
    <t>UBIAMT3535R</t>
  </si>
  <si>
    <t>35X35 FIELD</t>
  </si>
  <si>
    <t>BIANCO VENATINO UP 35X35 R</t>
  </si>
  <si>
    <t>UBIAVPO3535R</t>
  </si>
  <si>
    <t>BIANCO VENATINO PO 35X35 R</t>
  </si>
  <si>
    <r>
      <rPr>
        <b/>
        <sz val="24"/>
        <rFont val="Roca Light"/>
        <family val="3"/>
      </rPr>
      <t>BLOCK</t>
    </r>
    <r>
      <rPr>
        <sz val="12"/>
        <rFont val="Roca Light"/>
        <family val="3"/>
      </rPr>
      <t xml:space="preserve">     - GLAZED  PORCELAIN &amp; CERAMIC WALL</t>
    </r>
  </si>
  <si>
    <t>GRNE0BO011</t>
  </si>
  <si>
    <t>2X10 FIELD</t>
  </si>
  <si>
    <t>BLOCK BLANCO BRIGHT 2X10</t>
  </si>
  <si>
    <t>GRNE0BO021</t>
  </si>
  <si>
    <t>BLOCK GRIS BRIGHT 2X10</t>
  </si>
  <si>
    <t>GRNE0BO971</t>
  </si>
  <si>
    <t>BLOCK ACERO BRIGHT 2X10</t>
  </si>
  <si>
    <t>GRNE0BO151</t>
  </si>
  <si>
    <t>BLOCK AZUL BRIGHT 2X10</t>
  </si>
  <si>
    <t>GRNE0BO211</t>
  </si>
  <si>
    <t>BLOCK VERDE BRIGHT 2X10</t>
  </si>
  <si>
    <t>GRNE0BO161</t>
  </si>
  <si>
    <t>BLOCK NEGRO BRIGHT 2X10</t>
  </si>
  <si>
    <t>GRNE1BO011</t>
  </si>
  <si>
    <t>BLOCK BLANCO MATTE 2X10</t>
  </si>
  <si>
    <t>GRNE1BO021</t>
  </si>
  <si>
    <t>BLOCK GRIS MATTE 2X10</t>
  </si>
  <si>
    <t>GRNE1BO971</t>
  </si>
  <si>
    <t>BLOCK ACERO MATTE 2X10</t>
  </si>
  <si>
    <t>GRNE1BO151</t>
  </si>
  <si>
    <t>BLOCK AZUL MATTE 2X10</t>
  </si>
  <si>
    <t>GRNE1BO211</t>
  </si>
  <si>
    <t>BLOCK VERDE MATTE 2X10</t>
  </si>
  <si>
    <t>GRNE1BO161</t>
  </si>
  <si>
    <t>BLOCK NEGRO MATTE 2X10</t>
  </si>
  <si>
    <t>GRNE077011</t>
  </si>
  <si>
    <t xml:space="preserve">BLOCK ARROW BLANCO BRIGHT 2X10       </t>
  </si>
  <si>
    <t>GRNE077021</t>
  </si>
  <si>
    <t xml:space="preserve">BLOCK ARROW GRIS BRIGHT 2X10         </t>
  </si>
  <si>
    <t>GRNE077971</t>
  </si>
  <si>
    <t xml:space="preserve">BLOCK ARROW ACERO BRIGHT 2X10       </t>
  </si>
  <si>
    <t>GRNE077151</t>
  </si>
  <si>
    <t xml:space="preserve">BLOCK ARROW AZUL BRIGHT 2X10       </t>
  </si>
  <si>
    <t>GRNE077211</t>
  </si>
  <si>
    <t xml:space="preserve">BLOCK ARROW VERDE BRIGHT 2X10       </t>
  </si>
  <si>
    <t>GRNE077161</t>
  </si>
  <si>
    <t xml:space="preserve">BLOCK ARROW NEGRO BRIGHT 2X10      </t>
  </si>
  <si>
    <t>GRNE177011</t>
  </si>
  <si>
    <t xml:space="preserve">BLOCK ARROW BLANCO MATTE 2X10  </t>
  </si>
  <si>
    <t>GRNE177021</t>
  </si>
  <si>
    <t>BLOCK ARROW GRIS MATTE 2X10</t>
  </si>
  <si>
    <t>GRNE177971</t>
  </si>
  <si>
    <t xml:space="preserve">BLOCK ARROW ACERO MATTE 2X10  </t>
  </si>
  <si>
    <t>GRNE177151</t>
  </si>
  <si>
    <t>BLOCK ARROW AZUL MATTE 2X10</t>
  </si>
  <si>
    <t>GRNE177211</t>
  </si>
  <si>
    <t>BLOCK ARROW VERDE MATTE 2X10</t>
  </si>
  <si>
    <t>GRNE177161</t>
  </si>
  <si>
    <t xml:space="preserve">BLOCK ARROW NEGRO MATTE 2X10  </t>
  </si>
  <si>
    <t>GRNE0BO0S1</t>
  </si>
  <si>
    <t>2X10 BULLNOSE</t>
  </si>
  <si>
    <t>BLOCK BLANCO BRIGHT 2X10 SBN</t>
  </si>
  <si>
    <t>GRNE0BO2S1</t>
  </si>
  <si>
    <t>BLOCK GRIS BRIGHT 2X10 SBN</t>
  </si>
  <si>
    <t>GRNE0BO9S1</t>
  </si>
  <si>
    <t>BLOCK ACERO BRIGHT 2X10 SBN</t>
  </si>
  <si>
    <t>GRNE0BO5S1</t>
  </si>
  <si>
    <t>BLOCK AZUL BRIGHT 2X10 SBN</t>
  </si>
  <si>
    <t>GRNE0BO7S1</t>
  </si>
  <si>
    <t>BLOCK VERDE BRIGHT 2X10 SBN</t>
  </si>
  <si>
    <t>GRNE0BO6S1</t>
  </si>
  <si>
    <t>BLOCK NEGRO BRIGHT 2X10 SBN</t>
  </si>
  <si>
    <t>GRNE1BO0S1</t>
  </si>
  <si>
    <t>BLOCK BLANCO MATTE 2X10 SBN</t>
  </si>
  <si>
    <t>GRNE1BO2S1</t>
  </si>
  <si>
    <t>BLOCK GRIS MATTE 2X10 SBN</t>
  </si>
  <si>
    <t>GRNE1BO9S1</t>
  </si>
  <si>
    <t>BLOCK ACERO MATTE 2X10 SBN</t>
  </si>
  <si>
    <t>GRNE1BO5S1</t>
  </si>
  <si>
    <t>BLOCK AZUL MATTE 2X10 SBN</t>
  </si>
  <si>
    <t>GRNE1BO7S1</t>
  </si>
  <si>
    <t>BLOCK VERDE MATTE 2X10 SBN</t>
  </si>
  <si>
    <t>GRNE1BO6S1</t>
  </si>
  <si>
    <t>BLOCK NEGRO MATTE 2X10 SBN</t>
  </si>
  <si>
    <t>GRNE16I011</t>
  </si>
  <si>
    <t>4X24 FIELD</t>
  </si>
  <si>
    <t>BLOCK BLANCO MATTE 4X24</t>
  </si>
  <si>
    <t>GRNE16I021</t>
  </si>
  <si>
    <t>BLOCK GRIS MATTE 4X24</t>
  </si>
  <si>
    <t>GRNE16I971</t>
  </si>
  <si>
    <t>BLOCK ACERO MATTE 4X24</t>
  </si>
  <si>
    <t>GRNE16I151</t>
  </si>
  <si>
    <t>BLOCK AZUL MATTE 4X24</t>
  </si>
  <si>
    <t>GRNE16I211</t>
  </si>
  <si>
    <t>BLOCK VERDE MATTE 4X24</t>
  </si>
  <si>
    <t>GRNE16I161</t>
  </si>
  <si>
    <t>BLOCK NEGRO MATTE 4X24</t>
  </si>
  <si>
    <t>GRNE0CA011</t>
  </si>
  <si>
    <t>5X6 HEXAGON</t>
  </si>
  <si>
    <t>BLOCK HEXAGON BLANCO MATTE 5X6</t>
  </si>
  <si>
    <t>GRNE0CA021</t>
  </si>
  <si>
    <t>BLOCK HEXAGON GRIS MATTE 5X6</t>
  </si>
  <si>
    <t>GRNE0CA971</t>
  </si>
  <si>
    <t>BLOCK HEXAGON ACERO MATTE 5X6</t>
  </si>
  <si>
    <t>GRNE0CA151</t>
  </si>
  <si>
    <t>BLOCK HEXAGON AZUL MATTE 5X6</t>
  </si>
  <si>
    <t>GRNE0CA211</t>
  </si>
  <si>
    <t>BLOCK HEXAGON VERDE MATTE 5X6</t>
  </si>
  <si>
    <t>GRNE0CA161</t>
  </si>
  <si>
    <t>BLOCK HEXAGON NEGRO MATTE 5X6</t>
  </si>
  <si>
    <r>
      <rPr>
        <b/>
        <sz val="24"/>
        <rFont val="Roca Light"/>
        <family val="3"/>
      </rPr>
      <t>BOHEME</t>
    </r>
    <r>
      <rPr>
        <sz val="12"/>
        <rFont val="Roca Light"/>
        <family val="3"/>
      </rPr>
      <t xml:space="preserve">     - GLAZED PORCELAIN</t>
    </r>
  </si>
  <si>
    <t>UBOHEME19CV</t>
  </si>
  <si>
    <t>8X35 FIELD</t>
  </si>
  <si>
    <t>BOHEME WHITE UP 8X35</t>
  </si>
  <si>
    <t>UBOHEME19CG</t>
  </si>
  <si>
    <t>BOHEME WALNUT UP 8X35</t>
  </si>
  <si>
    <t>UBOHEME19CE</t>
  </si>
  <si>
    <t>BOHEME NATURAL UP 8X35</t>
  </si>
  <si>
    <t>UBOHEME19CU</t>
  </si>
  <si>
    <t>BOHEME IVORY UP 8X35</t>
  </si>
  <si>
    <r>
      <rPr>
        <b/>
        <sz val="24"/>
        <rFont val="Roca Light"/>
        <family val="3"/>
      </rPr>
      <t>BRICKELL</t>
    </r>
    <r>
      <rPr>
        <sz val="12"/>
        <rFont val="Roca Light"/>
        <family val="3"/>
      </rPr>
      <t xml:space="preserve">      - CERAMIC WALL</t>
    </r>
  </si>
  <si>
    <t>BRIW011-312</t>
  </si>
  <si>
    <t>BRICKELL BLANCO 3X12</t>
  </si>
  <si>
    <t>BRIW021-312</t>
  </si>
  <si>
    <t>BRICKELL GRIS 3X12</t>
  </si>
  <si>
    <t>BRIWTA1-312</t>
  </si>
  <si>
    <t>BRICKELL TAUPE 3X12</t>
  </si>
  <si>
    <t>BRIW022-312</t>
  </si>
  <si>
    <t>BRICKELL BURNT 3X12</t>
  </si>
  <si>
    <t>BRIW311-312</t>
  </si>
  <si>
    <t>BRICKELL ANTRACITA 3X12</t>
  </si>
  <si>
    <t>BRIW011-S43C9</t>
  </si>
  <si>
    <t>BRICKELL BLANCO 3X12 SBN</t>
  </si>
  <si>
    <t>BRIW021-S43C9</t>
  </si>
  <si>
    <t>BRICKELL GRIS 3X12 SBN</t>
  </si>
  <si>
    <t>BRIWTA1-S43C9</t>
  </si>
  <si>
    <t>BRICKELL TAUPE 3X12 SBN</t>
  </si>
  <si>
    <t>BRIW022-S43C9</t>
  </si>
  <si>
    <t>BRICKELL BURNT 3X12 SBN</t>
  </si>
  <si>
    <t>BRIW311-S43C9</t>
  </si>
  <si>
    <t>BRICKELL ANTRACITA 3X12 SBN</t>
  </si>
  <si>
    <r>
      <rPr>
        <b/>
        <sz val="24"/>
        <color rgb="FF000000"/>
        <rFont val="Roca Light"/>
        <family val="3"/>
      </rPr>
      <t>CALACATA GOLD</t>
    </r>
    <r>
      <rPr>
        <sz val="12"/>
        <color rgb="FF000000"/>
        <rFont val="Roca Light"/>
        <family val="3"/>
      </rPr>
      <t xml:space="preserve">         </t>
    </r>
    <r>
      <rPr>
        <sz val="12"/>
        <color rgb="FF000000"/>
        <rFont val="Roca Light"/>
      </rPr>
      <t xml:space="preserve"> - GLAZED &amp; POLISHED PORCELAIN / CERAMIC WALL</t>
    </r>
  </si>
  <si>
    <t>FCGPPR5171</t>
  </si>
  <si>
    <t>CALACATA GOLD UP 12"X24"</t>
  </si>
  <si>
    <t>FCGPER51711</t>
  </si>
  <si>
    <t>CALACATA GOLD PO 12"x24" R</t>
  </si>
  <si>
    <t>UCALGMT2448R</t>
  </si>
  <si>
    <t>CALACATA GOLD UP 24"X48" R</t>
  </si>
  <si>
    <t>UCALGPO2448R</t>
  </si>
  <si>
    <t>CALACATA GOLD PO 24"x48" R</t>
  </si>
  <si>
    <t>FCGPPR8171</t>
  </si>
  <si>
    <t>13X13 MOSAIC</t>
  </si>
  <si>
    <t>CALACATA GOLD UP 13"X13" MOSAIC</t>
  </si>
  <si>
    <t>472.68</t>
  </si>
  <si>
    <t>UCALGWH13M</t>
  </si>
  <si>
    <t>CALACATA GOLD UP 12X12 MOSAIC</t>
  </si>
  <si>
    <t>FCGPP64171</t>
  </si>
  <si>
    <t>CALACATA GOLD 3"X12" BULLNOSE</t>
  </si>
  <si>
    <t>FCGRVW2171</t>
  </si>
  <si>
    <t>6X18 FIELD</t>
  </si>
  <si>
    <t>CALACATA GOLD 6"X18" BRIGHT</t>
  </si>
  <si>
    <t>FCGRV04171</t>
  </si>
  <si>
    <t>6X18 BULLNOSE</t>
  </si>
  <si>
    <t>CALACATA GOLD 6"X18" BULLNOSE</t>
  </si>
  <si>
    <t>CALACATTA ORO</t>
  </si>
  <si>
    <t>GLAZED PORCELAIN</t>
  </si>
  <si>
    <t>F1T0A57441</t>
  </si>
  <si>
    <t>MARBLE CALACATTA ORO UP 12X24 R</t>
  </si>
  <si>
    <t>F1T0E57441</t>
  </si>
  <si>
    <t>MARBLE CALACATTA ORO PO 12X24 R</t>
  </si>
  <si>
    <t>F1T0A54011</t>
  </si>
  <si>
    <t>MARBLE CALACATTA ORO UP 24X48 R</t>
  </si>
  <si>
    <t>F1T0E54011 </t>
  </si>
  <si>
    <t>MARBLE CALACATTA ORO PO 24X48 R</t>
  </si>
  <si>
    <r>
      <rPr>
        <b/>
        <sz val="24"/>
        <rFont val="Roca Light"/>
        <family val="3"/>
      </rPr>
      <t>CARVE</t>
    </r>
    <r>
      <rPr>
        <sz val="12"/>
        <rFont val="Roca Light"/>
        <family val="3"/>
      </rPr>
      <t xml:space="preserve">     - GLAZED PORCELAIN</t>
    </r>
  </si>
  <si>
    <t>PORCELAIN WALL</t>
  </si>
  <si>
    <t>FPM0157011</t>
  </si>
  <si>
    <t>CARVE STEEL 12"x24" R</t>
  </si>
  <si>
    <r>
      <rPr>
        <b/>
        <sz val="24"/>
        <color rgb="FF000000"/>
        <rFont val="Roca Light"/>
        <family val="3"/>
      </rPr>
      <t xml:space="preserve">CASABLANCA     </t>
    </r>
    <r>
      <rPr>
        <sz val="12"/>
        <color rgb="FF000000"/>
        <rFont val="Roca Light"/>
        <family val="3"/>
      </rPr>
      <t>- GRES STONEWARE</t>
    </r>
  </si>
  <si>
    <t>CAHYD016-88</t>
  </si>
  <si>
    <t>CASABLANCA SQUARES 8X8</t>
  </si>
  <si>
    <t>CAHYD017-88</t>
  </si>
  <si>
    <t>CASABLANCA TRAILS 8X8</t>
  </si>
  <si>
    <t>UCASAMG12AC</t>
  </si>
  <si>
    <t xml:space="preserve">CASABLANCA AQUA 8X8    </t>
  </si>
  <si>
    <t>UCASFMG12AE </t>
  </si>
  <si>
    <t xml:space="preserve">CASABLANCA FOND 8X8    </t>
  </si>
  <si>
    <t>UCASHMG12AW </t>
  </si>
  <si>
    <t>CASABLANCA HERITAGE 8X8</t>
  </si>
  <si>
    <t>UCASAMG12AI  </t>
  </si>
  <si>
    <t xml:space="preserve">CASABLANCA MARKET 8X8  </t>
  </si>
  <si>
    <t>UCASAMG12AJ </t>
  </si>
  <si>
    <t>CASABLANCA SOLID GRAY 8X8</t>
  </si>
  <si>
    <t>UCASAMG12AW</t>
  </si>
  <si>
    <t>CASABLANCA SOLID BLACK 8X8</t>
  </si>
  <si>
    <r>
      <t>CAHYD011-N88</t>
    </r>
    <r>
      <rPr>
        <sz val="11"/>
        <color rgb="FF212121"/>
        <rFont val="Calibri"/>
        <family val="2"/>
        <scheme val="minor"/>
      </rPr>
      <t>  </t>
    </r>
  </si>
  <si>
    <t>CASABLANCA SOLID WHITE 8X8</t>
  </si>
  <si>
    <r>
      <t>UCASHMG12AC</t>
    </r>
    <r>
      <rPr>
        <sz val="11"/>
        <color rgb="FF212121"/>
        <rFont val="Calibri"/>
        <family val="2"/>
        <scheme val="minor"/>
      </rPr>
      <t> </t>
    </r>
  </si>
  <si>
    <t>CASABLANCA HERITAGE BLUE 8X8</t>
  </si>
  <si>
    <r>
      <t>UCASMMG12AC</t>
    </r>
    <r>
      <rPr>
        <sz val="11"/>
        <color rgb="FF212121"/>
        <rFont val="Calibri"/>
        <family val="2"/>
        <scheme val="minor"/>
      </rPr>
      <t>   </t>
    </r>
  </si>
  <si>
    <t>CASABLANCA MARKET BLUE 8X8</t>
  </si>
  <si>
    <t>CAHYD012-89H*</t>
  </si>
  <si>
    <t>8X9 FIELD</t>
  </si>
  <si>
    <t>CASABLANCA SOLID GRAY 8X9 HEXAGON</t>
  </si>
  <si>
    <r>
      <t>UCASAMG189V</t>
    </r>
    <r>
      <rPr>
        <sz val="11"/>
        <color rgb="FF212121"/>
        <rFont val="Calibri"/>
        <family val="2"/>
        <scheme val="minor"/>
      </rPr>
      <t> </t>
    </r>
  </si>
  <si>
    <t>CASABLANCA SOLID WHITE 8X9 HEXAGON</t>
  </si>
  <si>
    <t>UCASAMG189I</t>
  </si>
  <si>
    <t>UCASAMG189W</t>
  </si>
  <si>
    <t>CASABLANCA SOLID BLACK 8X9 HEXAGON</t>
  </si>
  <si>
    <r>
      <rPr>
        <b/>
        <sz val="24"/>
        <rFont val="Roca Light"/>
        <family val="3"/>
      </rPr>
      <t>CC COSMOS</t>
    </r>
    <r>
      <rPr>
        <sz val="12"/>
        <rFont val="Roca Light"/>
        <family val="3"/>
      </rPr>
      <t xml:space="preserve">      - CERAMIC WALL</t>
    </r>
  </si>
  <si>
    <t>UCOSAGBG312</t>
  </si>
  <si>
    <t>COSMOS SAGE GREEN BG 3X12</t>
  </si>
  <si>
    <t>UCONEUBG312</t>
  </si>
  <si>
    <t>COSMOS NEU GRAY BG 3X12</t>
  </si>
  <si>
    <t>UCOWHIBG312</t>
  </si>
  <si>
    <t>COSMOS WHITE ICE BG 3X12</t>
  </si>
  <si>
    <r>
      <rPr>
        <b/>
        <sz val="24"/>
        <rFont val="Roca Light"/>
        <family val="3"/>
      </rPr>
      <t>CC FRAMES</t>
    </r>
    <r>
      <rPr>
        <sz val="12"/>
        <rFont val="Roca Light"/>
        <family val="3"/>
      </rPr>
      <t xml:space="preserve">      - CERAMIC WALL</t>
    </r>
  </si>
  <si>
    <t>UFRMISBG412</t>
  </si>
  <si>
    <t>FRAMES MIST BG 4X12</t>
  </si>
  <si>
    <t>UFRTEABG412</t>
  </si>
  <si>
    <t>FRAMES TEAL BG 4X12</t>
  </si>
  <si>
    <t>UFRNEUBG412</t>
  </si>
  <si>
    <t>FRAMES NEU GRAY BG 4X12</t>
  </si>
  <si>
    <t>UFRWHIBG412</t>
  </si>
  <si>
    <t>FRAMES WHITE ICE BG 4X12</t>
  </si>
  <si>
    <r>
      <rPr>
        <b/>
        <sz val="24"/>
        <rFont val="Roca Light"/>
        <family val="3"/>
      </rPr>
      <t xml:space="preserve">CC MOSAICS    </t>
    </r>
    <r>
      <rPr>
        <sz val="12"/>
        <rFont val="Roca Light"/>
        <family val="3"/>
      </rPr>
      <t>- GLAZED PORCELAIN</t>
    </r>
  </si>
  <si>
    <t>FLOOR &amp; WALL</t>
  </si>
  <si>
    <t>UFCC101-12MT</t>
  </si>
  <si>
    <t>MG SN WH 12X12 W/ BLK OCT MOSAIC</t>
  </si>
  <si>
    <t>UFCC101-12MI</t>
  </si>
  <si>
    <t>UFCC100-12MT</t>
  </si>
  <si>
    <t>MG WHITE 12X12 OCT MOSAIC</t>
  </si>
  <si>
    <t>UFCC100-12MS</t>
  </si>
  <si>
    <t>UFCC112-12MS</t>
  </si>
  <si>
    <t>MG S.WHITE 12X12 OCT MOS GRAY</t>
  </si>
  <si>
    <t>UFCC102-12MS</t>
  </si>
  <si>
    <t>MG WHITE 12X12 MOS. HEXAGON 2X2</t>
  </si>
  <si>
    <t>UFCC141-12MT</t>
  </si>
  <si>
    <t>MG GRAY 12X12 MOS. HEXAGON 2X2</t>
  </si>
  <si>
    <t>UFCC103-12MT</t>
  </si>
  <si>
    <t>MG BLACK 12X12 MOS. HEXAGON 2X2</t>
  </si>
  <si>
    <t>UFCC103-12MI</t>
  </si>
  <si>
    <t>UFCC105-12MT</t>
  </si>
  <si>
    <t>MG WH/BLK 12X12 MOS. HEXAGON 1X1</t>
  </si>
  <si>
    <t>UFCC104-12MT</t>
  </si>
  <si>
    <t>MG WHITE 12X12 MOS. HEXAGON 1X1</t>
  </si>
  <si>
    <t>UFCC104-12MI</t>
  </si>
  <si>
    <t>UFCC114-12MT</t>
  </si>
  <si>
    <t>MG BLACK 12X12 MOS. HEXAGON 1X1</t>
  </si>
  <si>
    <t>UFCC108-12MT</t>
  </si>
  <si>
    <t>MG WHITE PENNY ROUND 12X12 MOS</t>
  </si>
  <si>
    <t>UFCC111-12MT</t>
  </si>
  <si>
    <t>BG BLACK PENNY ROUND 12X12 MOS</t>
  </si>
  <si>
    <t>UFCC159-12MT</t>
  </si>
  <si>
    <t>MG BLACK PENNY ROUND MOS 12X12</t>
  </si>
  <si>
    <t>UFCC116-12MT</t>
  </si>
  <si>
    <t>MG GRAY PENNY ROUND 12X12 MOS</t>
  </si>
  <si>
    <t>UFCC117-12MT</t>
  </si>
  <si>
    <t>BG GRAY PENNY ROUND 12X12 MOS</t>
  </si>
  <si>
    <t>UFCC110-12MT</t>
  </si>
  <si>
    <t>BG COBALT PENNY ROUND 12X12 MOS</t>
  </si>
  <si>
    <t>UFCC119-12MT</t>
  </si>
  <si>
    <t>BG WH 12X12 MOS.DIAMOND HERRING.</t>
  </si>
  <si>
    <t>UFCC107-12MS</t>
  </si>
  <si>
    <t>MG WH&amp;BL BASKET WEAVE 12X12 MOS</t>
  </si>
  <si>
    <t>UFCC130P-12MI</t>
  </si>
  <si>
    <t>MG WHITE 1X1 SQUARES 12X12 MOSAIC</t>
  </si>
  <si>
    <t>UFCC131P-12MI</t>
  </si>
  <si>
    <t>MG BLACK 1X1 SQUARES 12X12 MOSAIC</t>
  </si>
  <si>
    <t>UFCC118-12MT</t>
  </si>
  <si>
    <t>BG WHITE 12X12 MOS. LANTERN 2"</t>
  </si>
  <si>
    <t>UFCC135-12MT </t>
  </si>
  <si>
    <t>MG 1X1 B&amp;W FLOWER HEX 12X12 MOSAIC </t>
  </si>
  <si>
    <t>UFCC106-12MI</t>
  </si>
  <si>
    <t>MG 12X12 PINWHEEL MOS WH/BLK DOT</t>
  </si>
  <si>
    <t>UFCCGRW-12MT</t>
  </si>
  <si>
    <t>MG GR&amp;W PENNY ROUND 9X10 MOS</t>
  </si>
  <si>
    <t>UFCCGRW-12MI</t>
  </si>
  <si>
    <t>UFCCBLW-12T</t>
  </si>
  <si>
    <t>MG B&amp;W PENNY ROUND 9X10 MOS</t>
  </si>
  <si>
    <t>U072-12MI</t>
  </si>
  <si>
    <t>BG SNOW WH 2X4 BRICK MOSAIC</t>
  </si>
  <si>
    <t>NEW SKU</t>
  </si>
  <si>
    <t>UFCC108SAMG</t>
  </si>
  <si>
    <t>UFCC130SAMG</t>
  </si>
  <si>
    <t>UFCC102SAMG</t>
  </si>
  <si>
    <t>UFCC104SAMG</t>
  </si>
  <si>
    <t>MG WHITE 12X12 HEX MOSAIC 1X1</t>
  </si>
  <si>
    <t>UFCC107SAMG</t>
  </si>
  <si>
    <t>UFCC105SAMG</t>
  </si>
  <si>
    <t>UFCC100SAMG</t>
  </si>
  <si>
    <t>MG SNOW WH 12X12 OCT MOSAIC</t>
  </si>
  <si>
    <t>UFCC101SAMG</t>
  </si>
  <si>
    <t>UFCC112SAMG</t>
  </si>
  <si>
    <t>UFCC116SAMG</t>
  </si>
  <si>
    <t>UFCC141SAMG</t>
  </si>
  <si>
    <t>UFCC140SAMG</t>
  </si>
  <si>
    <t>MG GRAY 12X12 MOS. HEXAGON 1X1</t>
  </si>
  <si>
    <t>UFCC115SAMG</t>
  </si>
  <si>
    <t>MG GR 12X12 MOS. BASKET WEAVE DOT</t>
  </si>
  <si>
    <t>UFCC159SAMG</t>
  </si>
  <si>
    <t>UFCC131SAMG</t>
  </si>
  <si>
    <t>UFCC103SAMG</t>
  </si>
  <si>
    <t>UFCC114SAMG</t>
  </si>
  <si>
    <t>UFCCBLWSAMG</t>
  </si>
  <si>
    <t>UFCC135SAMG</t>
  </si>
  <si>
    <t>UFCC106SAMG</t>
  </si>
  <si>
    <t>UFCC109SABG</t>
  </si>
  <si>
    <t xml:space="preserve">BG WHITE PENNY ROUND 12X12 MOS </t>
  </si>
  <si>
    <t>UFCC118SABG</t>
  </si>
  <si>
    <t>UFCC119SABG</t>
  </si>
  <si>
    <t>U07212SAGBG</t>
  </si>
  <si>
    <t>BG SNOW WH 2X4 T-BRICK 12X12 MOS</t>
  </si>
  <si>
    <t>UFCC139SABG</t>
  </si>
  <si>
    <t>BG RED PEPPER PENNY ROUND MOS 12X12</t>
  </si>
  <si>
    <t>UFCC110SABG</t>
  </si>
  <si>
    <t>UFCC111SABG</t>
  </si>
  <si>
    <t>UFCC117SABG</t>
  </si>
  <si>
    <r>
      <rPr>
        <sz val="24"/>
        <rFont val="Roca Bold"/>
      </rPr>
      <t>CC MOSAICS plus+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-GLAZED PORCELAIN</t>
    </r>
  </si>
  <si>
    <t>U081BV-12MT</t>
  </si>
  <si>
    <t>BG WHITE ICE 2X4 BEV. BRICK</t>
  </si>
  <si>
    <t>U761BV-12MT</t>
  </si>
  <si>
    <t>BG TENDER GRAY 2X4 BEV. BRICK</t>
  </si>
  <si>
    <t>UFCC129-12MT</t>
  </si>
  <si>
    <t>BG ANTIQUE WHITE 12X12 HERRING.MOSAIC</t>
  </si>
  <si>
    <t>UFCC128-12MT</t>
  </si>
  <si>
    <t>BG WHITE 12X12 HERRINGBONE MOSAIC</t>
  </si>
  <si>
    <t>UFCC143-SF12</t>
  </si>
  <si>
    <t xml:space="preserve">BG WHITE 3D PICKET 12X12 MOSAIC </t>
  </si>
  <si>
    <t>UFCC146-SF12</t>
  </si>
  <si>
    <t>MG WHITE 3D PICKET 12X12 MOSAIC</t>
  </si>
  <si>
    <t>UFCC124-12MT</t>
  </si>
  <si>
    <t>BG SKY BLUE PENNY ROUND 12X12 MOSAIC</t>
  </si>
  <si>
    <t>UFCC125-12MT</t>
  </si>
  <si>
    <t>BG PEARL WHITE PENNY ROUND 12X12 MOSAIC</t>
  </si>
  <si>
    <t>UFCC126-12MT</t>
  </si>
  <si>
    <t>BG CREAM PENNY ROUND 12X12 MOSAIC</t>
  </si>
  <si>
    <t>UFCC127-12MT</t>
  </si>
  <si>
    <t>BG MINT GREEN PENNY ROUND 12X12 MOSAIC</t>
  </si>
  <si>
    <t>UFCC161-12MT</t>
  </si>
  <si>
    <t>BG 2" WHITE DOTS MOSAIC</t>
  </si>
  <si>
    <t>UFCC164-12MT</t>
  </si>
  <si>
    <t>MG 2" GRAY DOTS MOSAIC</t>
  </si>
  <si>
    <t>UFCC166-12MT</t>
  </si>
  <si>
    <t>MG 2" CARRARA DOTS MOSAIC</t>
  </si>
  <si>
    <t>UFCC146SAMG</t>
  </si>
  <si>
    <t>UFCC160SAMG</t>
  </si>
  <si>
    <t>MG 2" WHITE DOTS MOSAIC</t>
  </si>
  <si>
    <t>UFCC164SAMG</t>
  </si>
  <si>
    <t>UFCC166SAMG</t>
  </si>
  <si>
    <t>UFCC162SAMG</t>
  </si>
  <si>
    <t>MG 2" BLACK DOTS MOSAIC</t>
  </si>
  <si>
    <t>U081BVSAGBG</t>
  </si>
  <si>
    <t>UFCC143SABG</t>
  </si>
  <si>
    <t>UFCC128SABG</t>
  </si>
  <si>
    <t>UFCC124SABG</t>
  </si>
  <si>
    <t>UFCC142SABG</t>
  </si>
  <si>
    <t>BG MIXED COLOR 3D PICKET 12X12 MOSAIC</t>
  </si>
  <si>
    <t>UFCC127SABG</t>
  </si>
  <si>
    <t>UFCC126SABG</t>
  </si>
  <si>
    <t>UFCC161SABG</t>
  </si>
  <si>
    <t>UCCOVA1212C</t>
  </si>
  <si>
    <t>BG BLUE OVAL 12X12 MOSAIC</t>
  </si>
  <si>
    <t>1048.32</t>
  </si>
  <si>
    <t>2581.6</t>
  </si>
  <si>
    <t>UCCOVA1212V</t>
  </si>
  <si>
    <t>BG WHITE OVAL 12X12 MOSAIC</t>
  </si>
  <si>
    <t>UCCOVA1212E</t>
  </si>
  <si>
    <t>BG TAUPE OVAL 12X12 MOSAIC</t>
  </si>
  <si>
    <t>UCCOVA1212W</t>
  </si>
  <si>
    <t>BG BLACK OVAL 12X12 MOSAIC</t>
  </si>
  <si>
    <t>UFCC761STBG</t>
  </si>
  <si>
    <t>BG TENDER GRAY 12X12 STACKED MOS</t>
  </si>
  <si>
    <t>14.34</t>
  </si>
  <si>
    <t>45.89</t>
  </si>
  <si>
    <t>774.36</t>
  </si>
  <si>
    <t>2477.79</t>
  </si>
  <si>
    <t>UFCC170SPBG</t>
  </si>
  <si>
    <t>BG BLACK PICKET 12X12 MOS</t>
  </si>
  <si>
    <t>20.15</t>
  </si>
  <si>
    <t>55.42</t>
  </si>
  <si>
    <t>906.75</t>
  </si>
  <si>
    <t>2493.9</t>
  </si>
  <si>
    <t>UFCC170STBG</t>
  </si>
  <si>
    <t>BG BLACK STACKED 12X12 MOS</t>
  </si>
  <si>
    <t>UFCC171SPBG</t>
  </si>
  <si>
    <t>BG WHITE PICKET 12X12 MOS</t>
  </si>
  <si>
    <t>UFCC171STBG</t>
  </si>
  <si>
    <t>BG WHITE STACKED 12X12 MOS</t>
  </si>
  <si>
    <t>14.62</t>
  </si>
  <si>
    <t>45.54</t>
  </si>
  <si>
    <t>789.48</t>
  </si>
  <si>
    <t>2459.16</t>
  </si>
  <si>
    <t>UFCC172SABG</t>
  </si>
  <si>
    <t>BG CELEST 2X2 HEX 12X12 MOS</t>
  </si>
  <si>
    <t>19.73</t>
  </si>
  <si>
    <t>50.12</t>
  </si>
  <si>
    <t>887.85</t>
  </si>
  <si>
    <t>2255.4</t>
  </si>
  <si>
    <t>UFCC172SPBG</t>
  </si>
  <si>
    <t>BG CELEST PICKET 12X12 MOS</t>
  </si>
  <si>
    <t>UFCC172STBG</t>
  </si>
  <si>
    <t>BG CELEST STACKED 12X12 MOS</t>
  </si>
  <si>
    <t>UFCC172SFBG</t>
  </si>
  <si>
    <t>BG CELEST FEATHER 12X12 MOS</t>
  </si>
  <si>
    <t>UFCC171SABG</t>
  </si>
  <si>
    <t>MG WHITE 3X3 HEX 12X12 MOS</t>
  </si>
  <si>
    <t>17.16</t>
  </si>
  <si>
    <t>44.54</t>
  </si>
  <si>
    <t>926.64</t>
  </si>
  <si>
    <t>2405.16</t>
  </si>
  <si>
    <t>UFCC761SABG</t>
  </si>
  <si>
    <t>MG TENDER GRAY 3X3 HEX 12X12 MOS</t>
  </si>
  <si>
    <t>UFCC170SABG</t>
  </si>
  <si>
    <t>MG BLACK 3X3 HEX 12X12 MOS</t>
  </si>
  <si>
    <r>
      <rPr>
        <b/>
        <sz val="24"/>
        <rFont val="Roca Light"/>
        <family val="3"/>
      </rPr>
      <t xml:space="preserve">CC PORCELAIN    </t>
    </r>
    <r>
      <rPr>
        <sz val="12"/>
        <rFont val="Roca Light"/>
        <family val="3"/>
      </rPr>
      <t>- UNGLAZED DOT MOUNTED PORCELAIN</t>
    </r>
  </si>
  <si>
    <t>U289CCI-12</t>
  </si>
  <si>
    <t>CC PORCELAIN TAUPE 12X12 MOSAIC</t>
  </si>
  <si>
    <t>44.12</t>
  </si>
  <si>
    <t>725.76</t>
  </si>
  <si>
    <t>1588.32</t>
  </si>
  <si>
    <t>U259CCI-12</t>
  </si>
  <si>
    <t>CC PORCELAIN BLACK 12X12 MOSAIC</t>
  </si>
  <si>
    <t>NEW CODE</t>
  </si>
  <si>
    <t>U272CCISAMG</t>
  </si>
  <si>
    <t>CC PORCELAIN WHITE 12X12 MOSAIC</t>
  </si>
  <si>
    <t>U261CCISAMG</t>
  </si>
  <si>
    <t>CC PORCELAIN TENDER GRAY 12X12 MOSAIC</t>
  </si>
  <si>
    <t>U289CCISAMG</t>
  </si>
  <si>
    <t>U259CCISAMG</t>
  </si>
  <si>
    <t>U289CPISAMG</t>
  </si>
  <si>
    <t>CC PORCELAIN TAUPE PENNY 12X12 MOS</t>
  </si>
  <si>
    <t>U272CPISAMG</t>
  </si>
  <si>
    <t>CC PORCELAIN WHITE PENNY 12X12 MOS</t>
  </si>
  <si>
    <t>U261CPISAMG</t>
  </si>
  <si>
    <t>CC PORCE TENDER GRAY PENNY 12X12 MOS</t>
  </si>
  <si>
    <t>U259CPISAMG</t>
  </si>
  <si>
    <t>CC PORCELAIN BLACK PENNY 12X12 MOS</t>
  </si>
  <si>
    <t>U289CSISAMG</t>
  </si>
  <si>
    <t>CC PORCELAIN TAUPE STACKED 12X12 MOS</t>
  </si>
  <si>
    <t>U272CSISAMG</t>
  </si>
  <si>
    <t>CC PORCELAIN WHITE  STACKED 12X12 MOS</t>
  </si>
  <si>
    <t>U261CSISAMG</t>
  </si>
  <si>
    <t>CC PORCE TENDER GRAY STACKED 12X12 MOS</t>
  </si>
  <si>
    <t>U259CSISAMG</t>
  </si>
  <si>
    <t>CC PORCELAIN BLACK STACKED 12X12 MOS</t>
  </si>
  <si>
    <r>
      <rPr>
        <b/>
        <sz val="24"/>
        <rFont val="Roca Light"/>
        <family val="3"/>
      </rPr>
      <t>CC TEXTURES</t>
    </r>
    <r>
      <rPr>
        <sz val="22"/>
        <rFont val="Roca Light"/>
        <family val="3"/>
      </rPr>
      <t xml:space="preserve">      </t>
    </r>
    <r>
      <rPr>
        <sz val="12"/>
        <rFont val="Roca Light"/>
        <family val="3"/>
      </rPr>
      <t>- CERAMIC WALL</t>
    </r>
  </si>
  <si>
    <t>UWCLWV01-1028</t>
  </si>
  <si>
    <t>10X28 WAVY</t>
  </si>
  <si>
    <t>BG WH ICE 10X28 WAVES</t>
  </si>
  <si>
    <t>U081-410-WV</t>
  </si>
  <si>
    <t>4X10 WAVY</t>
  </si>
  <si>
    <t>BG WHITE ICE 4X10 WAVY</t>
  </si>
  <si>
    <t>U281-410-WV</t>
  </si>
  <si>
    <t>MG WHITE ICE 4X10 WAVY</t>
  </si>
  <si>
    <t>U081-410-BV</t>
  </si>
  <si>
    <t>4X10 BEVELED</t>
  </si>
  <si>
    <t>BG WHITE ICE 4 1/4X10 BEVELED</t>
  </si>
  <si>
    <t>U281-410-BV</t>
  </si>
  <si>
    <t>MG WHITE ICE 4 1/4X10 BEVELED</t>
  </si>
  <si>
    <t>U081-BV</t>
  </si>
  <si>
    <t>3X6 BEVELED</t>
  </si>
  <si>
    <t>BG WHITE ICE 3X6 BEVELED</t>
  </si>
  <si>
    <t>U281-BV</t>
  </si>
  <si>
    <t>MG WHITE ICE 3X6 BEVELED</t>
  </si>
  <si>
    <t>U761-BV</t>
  </si>
  <si>
    <t>BG TENDER GRAY 3X6 BEVELED</t>
  </si>
  <si>
    <t>U074-BV</t>
  </si>
  <si>
    <t>BG BISCUIT 3X6 BEVELED</t>
  </si>
  <si>
    <t>U072-BV</t>
  </si>
  <si>
    <t>BG SNOW WHITE 3X6 BEVELED</t>
  </si>
  <si>
    <t>U081MON-36</t>
  </si>
  <si>
    <t>3X6 REVERSED BEVELED</t>
  </si>
  <si>
    <t>BG WHITE ICE REV. BEVELED 3X6</t>
  </si>
  <si>
    <t>U281MON-36</t>
  </si>
  <si>
    <t>MG WHITE ICE REV. BEVELED 3X6</t>
  </si>
  <si>
    <t>U261MON-36</t>
  </si>
  <si>
    <t>MG TENDER GRAY REV. BEVELED 3X6</t>
  </si>
  <si>
    <r>
      <rPr>
        <b/>
        <sz val="24"/>
        <color rgb="FF000000"/>
        <rFont val="Roca Light"/>
        <family val="3"/>
      </rPr>
      <t xml:space="preserve">COLONIAL  </t>
    </r>
    <r>
      <rPr>
        <sz val="12"/>
        <color rgb="FF000000"/>
        <rFont val="Roca Light"/>
        <family val="3"/>
      </rPr>
      <t xml:space="preserve"> - GLAZED PORCELAIN</t>
    </r>
  </si>
  <si>
    <t>GDV0A6O011</t>
  </si>
  <si>
    <t>8x48 FIELD</t>
  </si>
  <si>
    <t>COLONIAL WHITE 8X48 R</t>
  </si>
  <si>
    <t>GDV0A6O691</t>
  </si>
  <si>
    <t>COLONIAL ALMOND 8X48 R</t>
  </si>
  <si>
    <t>GDV0A6O741</t>
  </si>
  <si>
    <t>COLONIAL ROBLE 8X48 R</t>
  </si>
  <si>
    <t>GDV0H6O011</t>
  </si>
  <si>
    <t>GDV0H6O741</t>
  </si>
  <si>
    <r>
      <rPr>
        <b/>
        <sz val="24"/>
        <color theme="1"/>
        <rFont val="Roca Light"/>
        <family val="3"/>
      </rPr>
      <t xml:space="preserve">COLOR COLLECTION  </t>
    </r>
    <r>
      <rPr>
        <sz val="20"/>
        <color theme="1"/>
        <rFont val="Roca Light"/>
        <family val="3"/>
      </rPr>
      <t xml:space="preserve">  </t>
    </r>
    <r>
      <rPr>
        <sz val="12"/>
        <color theme="1"/>
        <rFont val="Roca Light"/>
        <family val="3"/>
      </rPr>
      <t>- CERAMIC WALL</t>
    </r>
  </si>
  <si>
    <t>U705-412</t>
  </si>
  <si>
    <t>4x12 FIELD</t>
  </si>
  <si>
    <t>CC NEU GRAY BG 4X12</t>
  </si>
  <si>
    <t>U706-412</t>
  </si>
  <si>
    <t>CC PETROL BG 4X12</t>
  </si>
  <si>
    <t>U707-412</t>
  </si>
  <si>
    <t>CC TEAL BG 4X12</t>
  </si>
  <si>
    <t>U708-412</t>
  </si>
  <si>
    <t>CC MIST BG 4X12</t>
  </si>
  <si>
    <t>U705-312</t>
  </si>
  <si>
    <t>CC NEU GRAY BG 3X12</t>
  </si>
  <si>
    <t>985.92</t>
  </si>
  <si>
    <t>U706-312</t>
  </si>
  <si>
    <t>CC PETROL BG 3X12</t>
  </si>
  <si>
    <t>U708-312</t>
  </si>
  <si>
    <t>CC MIST BG 3X12</t>
  </si>
  <si>
    <t>U709-312</t>
  </si>
  <si>
    <t>CC SAGE GREEN BG 3X12</t>
  </si>
  <si>
    <t>UCCOLBG16NV</t>
  </si>
  <si>
    <t>8X24 FIELD</t>
  </si>
  <si>
    <t>CC WHITE ICE BG 8X24</t>
  </si>
  <si>
    <t>U081-412</t>
  </si>
  <si>
    <t>BG WHITE ICE 4X12</t>
  </si>
  <si>
    <t>U281-412</t>
  </si>
  <si>
    <t>MG WHITE ICE 4X12</t>
  </si>
  <si>
    <t>U761-412</t>
  </si>
  <si>
    <t>BG TENDER GRAY 4X12</t>
  </si>
  <si>
    <t>U261-412</t>
  </si>
  <si>
    <t>MG TENDER GRAY4X12</t>
  </si>
  <si>
    <t>UWCL081-1028</t>
  </si>
  <si>
    <t>10X28 FIELD</t>
  </si>
  <si>
    <t>BG WHITE ICE 10X28</t>
  </si>
  <si>
    <t>U081-1324</t>
  </si>
  <si>
    <t>13X24 FIELD</t>
  </si>
  <si>
    <t>BG WHITE ICE 13X24</t>
  </si>
  <si>
    <t>U081-1236</t>
  </si>
  <si>
    <t>BG WHITE ICE 12X36</t>
  </si>
  <si>
    <t>U081-28</t>
  </si>
  <si>
    <t>BG WHITE ICE 2X8</t>
  </si>
  <si>
    <t>U281-28</t>
  </si>
  <si>
    <t>MG WHITE ICE 2X8</t>
  </si>
  <si>
    <t>U074-28</t>
  </si>
  <si>
    <t>BG BISCUIT 2X8</t>
  </si>
  <si>
    <t>U761-28</t>
  </si>
  <si>
    <t>BG TENDER GRAY 2X8</t>
  </si>
  <si>
    <t>U081-36-1P*</t>
  </si>
  <si>
    <t>3X6 FIELD</t>
  </si>
  <si>
    <t>BG WHITE ICE 3X6</t>
  </si>
  <si>
    <t>U281-36-1P*</t>
  </si>
  <si>
    <t>MG WHITE ICE 3X6</t>
  </si>
  <si>
    <t>U081-36NU</t>
  </si>
  <si>
    <t>U281-36NU</t>
  </si>
  <si>
    <t>U074-36-1P</t>
  </si>
  <si>
    <t>BG BISCUIT 3X6</t>
  </si>
  <si>
    <t>U274-36-1P</t>
  </si>
  <si>
    <t>MG BISCUIT 3X6</t>
  </si>
  <si>
    <t>761-36</t>
  </si>
  <si>
    <t>BG TENDER GRAY 3X6</t>
  </si>
  <si>
    <t>261-36</t>
  </si>
  <si>
    <t>MG TENDER GRAY 3X6</t>
  </si>
  <si>
    <t>759-36</t>
  </si>
  <si>
    <t>BG BLACK 3X6</t>
  </si>
  <si>
    <t>U789-36</t>
  </si>
  <si>
    <t>BG TAUPE 3X6</t>
  </si>
  <si>
    <t>U289-36</t>
  </si>
  <si>
    <t>MG TAUPE 3X6</t>
  </si>
  <si>
    <t>U072-36-1N</t>
  </si>
  <si>
    <t>BG SNOW WHITE 3X6</t>
  </si>
  <si>
    <t>U796-36</t>
  </si>
  <si>
    <t>BG COCOA 3X6</t>
  </si>
  <si>
    <t>U726-36</t>
  </si>
  <si>
    <t>BG COBALT 3X6</t>
  </si>
  <si>
    <t>U725-36</t>
  </si>
  <si>
    <t>BG DEEP BLUE 3X6</t>
  </si>
  <si>
    <t>U715-36</t>
  </si>
  <si>
    <t>BG OLIVE GREEN 3X6</t>
  </si>
  <si>
    <t>U769-36</t>
  </si>
  <si>
    <t>BG DARK GRAY 3X6</t>
  </si>
  <si>
    <t>U723-36</t>
  </si>
  <si>
    <t>BG SOFT BLUE 3X6</t>
  </si>
  <si>
    <t>U711-36</t>
  </si>
  <si>
    <t>BG SPRING GREEN 3X6</t>
  </si>
  <si>
    <t>U719-36</t>
  </si>
  <si>
    <t>BG KELLY 3X6</t>
  </si>
  <si>
    <t>U745-36</t>
  </si>
  <si>
    <t>BG MUSTARD 3X6</t>
  </si>
  <si>
    <t>U744-36</t>
  </si>
  <si>
    <t>BG YELLOW 3X6</t>
  </si>
  <si>
    <t>U739-36</t>
  </si>
  <si>
    <t>BG RED PEPPER 3X6</t>
  </si>
  <si>
    <t>U081-312</t>
  </si>
  <si>
    <t>BG WHITE ICE 3X12</t>
  </si>
  <si>
    <t>U281-312</t>
  </si>
  <si>
    <t>MG WHITE ICE 3X12</t>
  </si>
  <si>
    <t>U761-312</t>
  </si>
  <si>
    <t>BG TENDER GRAY 3X12</t>
  </si>
  <si>
    <t>U261-312</t>
  </si>
  <si>
    <t>MG TENDER GRAY 3X12</t>
  </si>
  <si>
    <t>U725-312</t>
  </si>
  <si>
    <t>BG DEEP BLUE 3X12</t>
  </si>
  <si>
    <t>U715-312</t>
  </si>
  <si>
    <t>BG OLIVE GREEN 3X12</t>
  </si>
  <si>
    <t>U723-312</t>
  </si>
  <si>
    <t>BG SOFT BLUE 3X12</t>
  </si>
  <si>
    <r>
      <rPr>
        <b/>
        <sz val="24"/>
        <color theme="1"/>
        <rFont val="Roca Light"/>
        <family val="3"/>
      </rPr>
      <t>COLOR COLLECTION</t>
    </r>
    <r>
      <rPr>
        <sz val="20"/>
        <color theme="1"/>
        <rFont val="Roca Light"/>
        <family val="3"/>
      </rPr>
      <t xml:space="preserve">      </t>
    </r>
    <r>
      <rPr>
        <sz val="12"/>
        <color theme="1"/>
        <rFont val="Roca Light"/>
        <family val="3"/>
      </rPr>
      <t>- CERAMIC WALL</t>
    </r>
  </si>
  <si>
    <t>U081-PICKET</t>
  </si>
  <si>
    <t>BG WHITE ICE 3X12 PICKET</t>
  </si>
  <si>
    <t>U281-PICKET</t>
  </si>
  <si>
    <t>MG WHITE ICE 3X12 PICKET</t>
  </si>
  <si>
    <t>U761-PICKET</t>
  </si>
  <si>
    <t>BG TENDER GRAY 3X12 PICKET</t>
  </si>
  <si>
    <t>U261-PICKET</t>
  </si>
  <si>
    <t>MG TENDER GRAY 3X12 PICKET</t>
  </si>
  <si>
    <t>U081-44-1P</t>
  </si>
  <si>
    <t>4 1/4X4 1/4 
FIELD</t>
  </si>
  <si>
    <t>BG WHITE ICE 4 1/4X4 1/4</t>
  </si>
  <si>
    <t>U281-44-1P</t>
  </si>
  <si>
    <t>MG WHITE ICE 4 1/4X4 1/4</t>
  </si>
  <si>
    <t>U074-44-1P</t>
  </si>
  <si>
    <t>BG BISCUIT 4 1/4X4 1/4</t>
  </si>
  <si>
    <t>U274-44-1P</t>
  </si>
  <si>
    <t>MG BISCUIT 4 1/4X4 1/4</t>
  </si>
  <si>
    <t>U761-44-1M</t>
  </si>
  <si>
    <t>BG TENDER GRAY 4 1/4X4 1/4</t>
  </si>
  <si>
    <t>U261-44-1M</t>
  </si>
  <si>
    <t>MG TENDER GRAY 4 1/4X4 1/4</t>
  </si>
  <si>
    <t>U759-44-1M</t>
  </si>
  <si>
    <t>BG BLACK 4 1/4X4 1/4</t>
  </si>
  <si>
    <t>U789-44-1M</t>
  </si>
  <si>
    <t>BG TAUPE 4 1/4X4 1/4</t>
  </si>
  <si>
    <t>U289-44-1M</t>
  </si>
  <si>
    <t>MG TAUPE 4 1/4X4 1/4</t>
  </si>
  <si>
    <t>U769-44-1M</t>
  </si>
  <si>
    <t>BG DARK GRAY 4 1/4X4 1/4</t>
  </si>
  <si>
    <t>U726-44-1M</t>
  </si>
  <si>
    <t>BG COBALT 4 1/4X4 1/4</t>
  </si>
  <si>
    <t>U711-44-1M</t>
  </si>
  <si>
    <t>BG SPRING GREEN 4 1/4X4 1/4</t>
  </si>
  <si>
    <t>U719-44-1M</t>
  </si>
  <si>
    <t>BG KELLY 4 1/4X4 1/4</t>
  </si>
  <si>
    <t>U745-44-1M</t>
  </si>
  <si>
    <t>BG MUSTARD 4 1/4X4 1/4</t>
  </si>
  <si>
    <t>U724-44-1M</t>
  </si>
  <si>
    <t>BG WEDGEWOOD 4 1/4X4 1/4</t>
  </si>
  <si>
    <t>U739-44-1M</t>
  </si>
  <si>
    <t>BG RED PEPPER 4 1/4X4 1/4</t>
  </si>
  <si>
    <t>U081-410</t>
  </si>
  <si>
    <t>4 1/4X10 FIELD</t>
  </si>
  <si>
    <t>BG WHITE ICE 4 1/4X10</t>
  </si>
  <si>
    <t>U281-410</t>
  </si>
  <si>
    <t>MG WHITE ICE 4 1/4X10</t>
  </si>
  <si>
    <t>U761-410</t>
  </si>
  <si>
    <t>BG TENDER GRAY 4 1/4X10</t>
  </si>
  <si>
    <t>U261-410</t>
  </si>
  <si>
    <t>MG TENDER GRAY 4 1/4X10</t>
  </si>
  <si>
    <t>U074-410</t>
  </si>
  <si>
    <t>BG BISCUIT 4 1/4X10</t>
  </si>
  <si>
    <t>U274-410</t>
  </si>
  <si>
    <t>MG BISCUIT 4 1/4X10</t>
  </si>
  <si>
    <t>U072-410</t>
  </si>
  <si>
    <t>BG SNOW WHITE 4 1/4X10</t>
  </si>
  <si>
    <t>U789-410</t>
  </si>
  <si>
    <t>BG TAUPE 4 1/4X10</t>
  </si>
  <si>
    <t>U289-410</t>
  </si>
  <si>
    <t>MG TAUPE 4 1/4X10</t>
  </si>
  <si>
    <t>U739-410</t>
  </si>
  <si>
    <t>BG RED PEPPER 4 1/4X10</t>
  </si>
  <si>
    <t>U081-416-1P</t>
  </si>
  <si>
    <t>4 1/4X16 FIELD</t>
  </si>
  <si>
    <t>BG WHITE ICE 4 1/4X16</t>
  </si>
  <si>
    <t>U281-416-1P</t>
  </si>
  <si>
    <t>MG WHITE ICE 4 1/4X16</t>
  </si>
  <si>
    <t>U761-416-1P</t>
  </si>
  <si>
    <t>BG TENDER GRAY 4 1/4X16</t>
  </si>
  <si>
    <t>U261-416-1P</t>
  </si>
  <si>
    <t>MG TENDER GRAY 4 1/4X16</t>
  </si>
  <si>
    <t>U074-416-1P</t>
  </si>
  <si>
    <t>BG BISCUIT 4 1/4X16</t>
  </si>
  <si>
    <t>U274-416-1P</t>
  </si>
  <si>
    <t>MG BISCUIT 4 1/4X16</t>
  </si>
  <si>
    <t>U789-416-1P</t>
  </si>
  <si>
    <t>BG TAUPE 4 1/4X16</t>
  </si>
  <si>
    <t>U289-416-1P</t>
  </si>
  <si>
    <t>MG TAUPE 4 1/4X16</t>
  </si>
  <si>
    <t>U725-416</t>
  </si>
  <si>
    <t>BG DEEP BLUE 4X16</t>
  </si>
  <si>
    <t>U715-416</t>
  </si>
  <si>
    <t>BG OLIVE GREEN 4X16</t>
  </si>
  <si>
    <t>U723-416</t>
  </si>
  <si>
    <t>BG SOFT BLUE 4X16</t>
  </si>
  <si>
    <t>U081-618-1P</t>
  </si>
  <si>
    <t>BG WHITE ICE 6X18</t>
  </si>
  <si>
    <t>U281-618-1P</t>
  </si>
  <si>
    <t>MG WHITE ICE 6X18</t>
  </si>
  <si>
    <t>U761-618-1P</t>
  </si>
  <si>
    <t>BG TENDER GRAY 6X18</t>
  </si>
  <si>
    <t>U074-618-1P</t>
  </si>
  <si>
    <t>BG BISCUIT 6X18</t>
  </si>
  <si>
    <t>U789-618-1P</t>
  </si>
  <si>
    <t>BG TAUPE 6X18</t>
  </si>
  <si>
    <t>081-66</t>
  </si>
  <si>
    <t>6X6 FIELD</t>
  </si>
  <si>
    <t>BG WHITE ICE 6X6</t>
  </si>
  <si>
    <t>281-66</t>
  </si>
  <si>
    <t>MG WHITE ICE 6X6</t>
  </si>
  <si>
    <t>761-66</t>
  </si>
  <si>
    <t>BG TENDER GRAY 6X6</t>
  </si>
  <si>
    <t>261-66</t>
  </si>
  <si>
    <t>MG TENDER GRAY 6X6</t>
  </si>
  <si>
    <t>074-66</t>
  </si>
  <si>
    <t>BG BISCUIT 6X6</t>
  </si>
  <si>
    <t>274-66</t>
  </si>
  <si>
    <t>MG BISCUIT 6X6</t>
  </si>
  <si>
    <t>759-66</t>
  </si>
  <si>
    <t>BG BLACK 6X6</t>
  </si>
  <si>
    <t>U789-66</t>
  </si>
  <si>
    <t>BG TAUPE 6X6</t>
  </si>
  <si>
    <t>U289-66</t>
  </si>
  <si>
    <t>MG TAUPE 6X6</t>
  </si>
  <si>
    <t>U739-66</t>
  </si>
  <si>
    <t>BG RED PEPPER 6X6</t>
  </si>
  <si>
    <r>
      <rPr>
        <b/>
        <sz val="24"/>
        <color theme="1"/>
        <rFont val="Roca Light"/>
        <family val="3"/>
      </rPr>
      <t>COLOR COLLECTION - TRIMS</t>
    </r>
    <r>
      <rPr>
        <sz val="18"/>
        <color theme="1"/>
        <rFont val="Roca Light"/>
        <family val="3"/>
      </rPr>
      <t xml:space="preserve">         </t>
    </r>
    <r>
      <rPr>
        <sz val="22"/>
        <color theme="1"/>
        <rFont val="Roca Light"/>
        <family val="3"/>
      </rPr>
      <t xml:space="preserve">- </t>
    </r>
    <r>
      <rPr>
        <sz val="12"/>
        <color theme="1"/>
        <rFont val="Roca Light"/>
        <family val="3"/>
      </rPr>
      <t>CERAMIC WALL</t>
    </r>
  </si>
  <si>
    <t>U081-PENCIL</t>
  </si>
  <si>
    <t>1/2X6 PENCIL</t>
  </si>
  <si>
    <t>BG WHITE ICE 1/2X6 PENCIL</t>
  </si>
  <si>
    <t>U761-PENCIL</t>
  </si>
  <si>
    <t>BG TENDER GRAY 1/2X6 PENCIL</t>
  </si>
  <si>
    <t>081-SN4269</t>
  </si>
  <si>
    <t>2X2 BULLNOSE CORNER</t>
  </si>
  <si>
    <t>BG WHITE ICE 2X2 SBN CRN</t>
  </si>
  <si>
    <t>281-SN4269</t>
  </si>
  <si>
    <t>MG WHITE ICE 2X2 SBN CRN</t>
  </si>
  <si>
    <t>761-SN4269</t>
  </si>
  <si>
    <t>BG TENDER GRAY 2X2 SBN CRN</t>
  </si>
  <si>
    <t>261-SN4269</t>
  </si>
  <si>
    <t>MG TENDER GRAY 2X2 SBN CRN</t>
  </si>
  <si>
    <t>074-SN4269</t>
  </si>
  <si>
    <t>BG BISCUIT 2X2 SBN CRN</t>
  </si>
  <si>
    <t>274-SN4269</t>
  </si>
  <si>
    <t>MG BISCUIT 2X2 SBN CRN</t>
  </si>
  <si>
    <t>081-AN4200</t>
  </si>
  <si>
    <t>2X2 RADIUS CORNER</t>
  </si>
  <si>
    <t>BG WHITE ICE 2X2 RAD CRN</t>
  </si>
  <si>
    <t>281-AN4200</t>
  </si>
  <si>
    <t>MG WHITE ICE 2X2 RAD CRN</t>
  </si>
  <si>
    <t>081-ATC8262</t>
  </si>
  <si>
    <t>2X2 V-CAP CORNER</t>
  </si>
  <si>
    <t>BG WHITE ICE 2X2 V-CRN</t>
  </si>
  <si>
    <t>281-ATC8262</t>
  </si>
  <si>
    <t>MG WHITE ICE 2X2 V-CRN</t>
  </si>
  <si>
    <t>U081-S4269</t>
  </si>
  <si>
    <t>2X6 BULLNOSE</t>
  </si>
  <si>
    <t>BG WHITE ICE 2X6 SBN</t>
  </si>
  <si>
    <t>U281-S4269</t>
  </si>
  <si>
    <t>MG WHITE ICE 2X6 SBN</t>
  </si>
  <si>
    <t>U761-S4269</t>
  </si>
  <si>
    <t>BG TENDER GRAY 2X6 SBN</t>
  </si>
  <si>
    <t>U261-S4269</t>
  </si>
  <si>
    <t>MG TENDER GRAY 2X6 SBN</t>
  </si>
  <si>
    <t>U074-S4269</t>
  </si>
  <si>
    <t>BG BISCUIT 2X6 SBN</t>
  </si>
  <si>
    <t>U274-S4269</t>
  </si>
  <si>
    <t>MG BISCUIT 2X6 SBN</t>
  </si>
  <si>
    <r>
      <rPr>
        <b/>
        <sz val="24"/>
        <color theme="1"/>
        <rFont val="Roca Light"/>
        <family val="3"/>
      </rPr>
      <t xml:space="preserve">COLOR COLLECTION - TRIMS       </t>
    </r>
    <r>
      <rPr>
        <sz val="18"/>
        <color theme="1"/>
        <rFont val="Roca Light"/>
        <family val="3"/>
      </rPr>
      <t xml:space="preserve"> </t>
    </r>
    <r>
      <rPr>
        <sz val="22"/>
        <color theme="1"/>
        <rFont val="Roca Light"/>
        <family val="3"/>
      </rPr>
      <t xml:space="preserve">- </t>
    </r>
    <r>
      <rPr>
        <sz val="12"/>
        <color theme="1"/>
        <rFont val="Roca Light"/>
        <family val="3"/>
      </rPr>
      <t>CERAMIC WALL</t>
    </r>
  </si>
  <si>
    <t>U081-A4200</t>
  </si>
  <si>
    <t>2X6 RADIUS BULLNOSE</t>
  </si>
  <si>
    <t>BG WHITE ICE 2X6 RAD BN</t>
  </si>
  <si>
    <t>U281-A4200</t>
  </si>
  <si>
    <t>MG WHITE ICE 2X6 RAD BN</t>
  </si>
  <si>
    <t>U761-A4200</t>
  </si>
  <si>
    <t>BG TENDER GRAY 2X6 RAD BN</t>
  </si>
  <si>
    <t>U074-A4200</t>
  </si>
  <si>
    <t>BG BISCUIT 2X6 RAD BN</t>
  </si>
  <si>
    <t>U274-A4200</t>
  </si>
  <si>
    <t>MG BISCUIT 2X6 RAD BN</t>
  </si>
  <si>
    <t>U759-A4200</t>
  </si>
  <si>
    <t>BG BLACK 2X6 RAD BN</t>
  </si>
  <si>
    <t>081-AT8262</t>
  </si>
  <si>
    <t>2X6 V-CAP</t>
  </si>
  <si>
    <t>BG WHITE ICE 2X6 V-CAP</t>
  </si>
  <si>
    <t>281-AT8262</t>
  </si>
  <si>
    <t>MG WHITE ICE 2X6 V-CAP</t>
  </si>
  <si>
    <t>261-AT8262</t>
  </si>
  <si>
    <t>MG TENDER GRAY 2X6 V-CAP</t>
  </si>
  <si>
    <t>074-AT8262</t>
  </si>
  <si>
    <t>BG BISCUIT 2X6 V-CAP</t>
  </si>
  <si>
    <t>274-AT8262</t>
  </si>
  <si>
    <t>MG BISCUIT 2X6 V-CAP</t>
  </si>
  <si>
    <t>081-S4289</t>
  </si>
  <si>
    <t>2X8 BULLNOSE</t>
  </si>
  <si>
    <t>BG WHITE ICE 2X8 SBN</t>
  </si>
  <si>
    <t>281-S4289</t>
  </si>
  <si>
    <t>MG WHITE ICE 2X8 SBN</t>
  </si>
  <si>
    <t>761-S4289</t>
  </si>
  <si>
    <t>BG TENDER GRAY 2X8 SBN</t>
  </si>
  <si>
    <t>074-S4289</t>
  </si>
  <si>
    <t>BG BISCUIT 2X8 SBN</t>
  </si>
  <si>
    <t>U081-AT1663</t>
  </si>
  <si>
    <t>3 3/4X6 COVE BASE</t>
  </si>
  <si>
    <t>BG WHITE ICE 3 3/4X6 COVE - FLAT TOP</t>
  </si>
  <si>
    <t>U281-AT1663</t>
  </si>
  <si>
    <t>MG WHITE ICE 3 3/4X6 COVE - FLAT TOP</t>
  </si>
  <si>
    <t>U761-AT1663</t>
  </si>
  <si>
    <t>BG TENDER GRAY 3 3/4X6 COVE - FLAT TOP</t>
  </si>
  <si>
    <t>U261-AT1663</t>
  </si>
  <si>
    <t>MG TENDER GRAY 3 3/4X6 COVE - FLAT TOP</t>
  </si>
  <si>
    <t>U074-AT1663</t>
  </si>
  <si>
    <t>BG BISCUIT 3 3/4X6 COVE - FLAT TOP</t>
  </si>
  <si>
    <t>U274-AT1663</t>
  </si>
  <si>
    <t>MG BISCUIT 3 3/4X6 COVE - FLAT TOP</t>
  </si>
  <si>
    <t>U081-STCL1663</t>
  </si>
  <si>
    <t>3 3/4X6 LEFT COVE CORNER</t>
  </si>
  <si>
    <t>BG WHITE ICE 3 3/4X6 LC CRN</t>
  </si>
  <si>
    <t>U281-STCL1663</t>
  </si>
  <si>
    <t>MG WHITE ICE 3 3/4X6 LC CRN</t>
  </si>
  <si>
    <t>U081-STCR1663</t>
  </si>
  <si>
    <t>3 3/4X6 RIGHT COVE CORNER</t>
  </si>
  <si>
    <t>BG WHITE ICE 3 3/4X6 RC CRN</t>
  </si>
  <si>
    <t>U281-STCR1663</t>
  </si>
  <si>
    <t>MG WHITE ICE 3 3/4X6 RC CRN</t>
  </si>
  <si>
    <t>U081-AK106</t>
  </si>
  <si>
    <t>3/4X3/4 QUARTER ROUND CORNER</t>
  </si>
  <si>
    <t>BG WHITE ICE 3/4X3/4 QR CRN</t>
  </si>
  <si>
    <t>U281-AK106</t>
  </si>
  <si>
    <t>MG WHITE ICE 3/4X3/4 QR CRN</t>
  </si>
  <si>
    <t>081-A106</t>
  </si>
  <si>
    <t>3/4X6 QUARTER ROUND</t>
  </si>
  <si>
    <t>BG WHITE ICE 3/4X6 QR</t>
  </si>
  <si>
    <t>281-A106</t>
  </si>
  <si>
    <t>MG WHITE ICE 3/4X6 QR</t>
  </si>
  <si>
    <t>761-A106</t>
  </si>
  <si>
    <t>BG TENDER GRAY 3/4X6 QR</t>
  </si>
  <si>
    <t>261-A106</t>
  </si>
  <si>
    <t>MG TENDER GRAY 3/4X6 QR</t>
  </si>
  <si>
    <t>074-A106</t>
  </si>
  <si>
    <t>BG BISCUIT 3/4X6 QR</t>
  </si>
  <si>
    <t>274-A106</t>
  </si>
  <si>
    <t>MG BISCUIT 3/4X6 QR</t>
  </si>
  <si>
    <t>081-AC106</t>
  </si>
  <si>
    <t>3/4X6 QUARTER ROUND CORNER</t>
  </si>
  <si>
    <t>BG WHITE ICE 3/4X6 QR CRN</t>
  </si>
  <si>
    <t>281-AC106</t>
  </si>
  <si>
    <t>MG WHITE ICE 3/4X6 QR CRN</t>
  </si>
  <si>
    <t>761-AC106</t>
  </si>
  <si>
    <t>BG TENDER GRAY 3/4X6 QR CRN</t>
  </si>
  <si>
    <t>261-AC106</t>
  </si>
  <si>
    <t>MG TENDER GRAY 3/4X6 QR CRN</t>
  </si>
  <si>
    <t>074-AC106</t>
  </si>
  <si>
    <t>BG BISCUIT 3/4X6 QR CRN</t>
  </si>
  <si>
    <t>274-AC106</t>
  </si>
  <si>
    <t>MG BISCUIT 3/4X6 QR CRN</t>
  </si>
  <si>
    <r>
      <rPr>
        <b/>
        <sz val="24"/>
        <color theme="1"/>
        <rFont val="Roca Light"/>
        <family val="3"/>
      </rPr>
      <t>COLOR COLLECTION - TRIMS</t>
    </r>
    <r>
      <rPr>
        <sz val="18"/>
        <color theme="1"/>
        <rFont val="Roca Light"/>
        <family val="3"/>
      </rPr>
      <t xml:space="preserve">          </t>
    </r>
    <r>
      <rPr>
        <sz val="22"/>
        <color theme="1"/>
        <rFont val="Roca Light"/>
        <family val="3"/>
      </rPr>
      <t xml:space="preserve">- </t>
    </r>
    <r>
      <rPr>
        <sz val="12"/>
        <color theme="1"/>
        <rFont val="Roca Light"/>
        <family val="3"/>
      </rPr>
      <t>CERAMIC WALL</t>
    </r>
  </si>
  <si>
    <t>U081-S4310</t>
  </si>
  <si>
    <t>3X10 BULLNOSE</t>
  </si>
  <si>
    <t>BG WHITE ICE 3X10 SBN</t>
  </si>
  <si>
    <t>U281-S4310</t>
  </si>
  <si>
    <t>MG WHITE ICE 3X10 SBN</t>
  </si>
  <si>
    <t>U761-S4310</t>
  </si>
  <si>
    <t>BG TENDER GRAY 3X10 SBN</t>
  </si>
  <si>
    <t>U261-S4310</t>
  </si>
  <si>
    <t>MG TENDER GRAY 3X10 SBN</t>
  </si>
  <si>
    <t>U081-S4312</t>
  </si>
  <si>
    <t>BG WHITE ICE 3X12 SBN</t>
  </si>
  <si>
    <t>U281-S4312</t>
  </si>
  <si>
    <t>MG WHITE ICE 3X12 SBN</t>
  </si>
  <si>
    <t>U761-S4312</t>
  </si>
  <si>
    <t>BG TENDER GRAY 3X12 SBN</t>
  </si>
  <si>
    <t>U261-S4312</t>
  </si>
  <si>
    <t>MG TENDER GRAY 3X12 SBN</t>
  </si>
  <si>
    <t>081-S4639</t>
  </si>
  <si>
    <t>3X6 3" BULLNOSE</t>
  </si>
  <si>
    <t>BG WH ICE 3X6 3"SBN</t>
  </si>
  <si>
    <t>281-S4639</t>
  </si>
  <si>
    <t>MG WH ICE 3X6 3"SBN</t>
  </si>
  <si>
    <t>761-S4639</t>
  </si>
  <si>
    <t>BG T.GRAY 3X6 3"SBN</t>
  </si>
  <si>
    <t>261-S4639</t>
  </si>
  <si>
    <t>MG T.GRAY 3X6 3"SBN</t>
  </si>
  <si>
    <t>074-S4639</t>
  </si>
  <si>
    <t>BG BISCUIT 3X6 3"SBN</t>
  </si>
  <si>
    <t>274-S4639</t>
  </si>
  <si>
    <t>MG BISCUIT 3X6 3"SBN</t>
  </si>
  <si>
    <t>072-S4639</t>
  </si>
  <si>
    <t>BG SNOW WH 3X6 3"SBN</t>
  </si>
  <si>
    <t>789-S4639</t>
  </si>
  <si>
    <t>BG TAUPE 3X6 3"SBN</t>
  </si>
  <si>
    <t>759-S4639</t>
  </si>
  <si>
    <t>BG BLACK 3X6 3"SBN</t>
  </si>
  <si>
    <t>U296-S4639</t>
  </si>
  <si>
    <t>MG COCOA 3X6 3"SBN</t>
  </si>
  <si>
    <t>U739-S4639</t>
  </si>
  <si>
    <t>BG RED PEPPER 3X6 3"SBN</t>
  </si>
  <si>
    <t>081-SN4339</t>
  </si>
  <si>
    <t>3X3 BULLNOSE CORNER</t>
  </si>
  <si>
    <t>BG WHITE ICE 3X3 SBN CRN</t>
  </si>
  <si>
    <t>281-SN4339</t>
  </si>
  <si>
    <t>MG WHITE ICE 3X3 SBN CRN</t>
  </si>
  <si>
    <t>761-SN4339</t>
  </si>
  <si>
    <t>BG TENDER GRAY 3X3 SBN CRN</t>
  </si>
  <si>
    <t>261-SN4339</t>
  </si>
  <si>
    <t>MG TENDER GRAY 3X3 SBN CRN</t>
  </si>
  <si>
    <t>074-SN4339</t>
  </si>
  <si>
    <t>BG BISCUIT 3X3 SBN CRN</t>
  </si>
  <si>
    <t>274-SN4339</t>
  </si>
  <si>
    <t>MG BISCUIT 3X3 SBN CRN</t>
  </si>
  <si>
    <t>U739-SN4339</t>
  </si>
  <si>
    <t>BG RED PEPPER 3X3 SBN CRN</t>
  </si>
  <si>
    <r>
      <rPr>
        <b/>
        <sz val="24"/>
        <color theme="1"/>
        <rFont val="Roca Light"/>
        <family val="3"/>
      </rPr>
      <t>COLOR COLLECTION - TRIMS</t>
    </r>
    <r>
      <rPr>
        <sz val="18"/>
        <color theme="1"/>
        <rFont val="Roca Light"/>
        <family val="3"/>
      </rPr>
      <t xml:space="preserve">        </t>
    </r>
    <r>
      <rPr>
        <sz val="22"/>
        <color theme="1"/>
        <rFont val="Roca Light"/>
        <family val="3"/>
      </rPr>
      <t xml:space="preserve">- </t>
    </r>
    <r>
      <rPr>
        <sz val="12"/>
        <color theme="1"/>
        <rFont val="Roca Light"/>
        <family val="3"/>
      </rPr>
      <t>CERAMIC WALL</t>
    </r>
  </si>
  <si>
    <t>081-S4369</t>
  </si>
  <si>
    <t>3X6 BULLNOSE</t>
  </si>
  <si>
    <t>BG WHITE ICE 3X6 SBN</t>
  </si>
  <si>
    <t>281-S4369</t>
  </si>
  <si>
    <t>MG WHITE ICE 3X6 SBN</t>
  </si>
  <si>
    <t>761-S4369</t>
  </si>
  <si>
    <t>BG TENDER GRAY 3X6 SBN</t>
  </si>
  <si>
    <t>261-S4369</t>
  </si>
  <si>
    <t>MG TENDER GRAY 3X6 SBN</t>
  </si>
  <si>
    <t>074-S4369</t>
  </si>
  <si>
    <t>BG BISCUIT 3X6 SBN</t>
  </si>
  <si>
    <t>274-S4369</t>
  </si>
  <si>
    <t>MG BISCUIT 3X6 SBN</t>
  </si>
  <si>
    <t>072-S4369</t>
  </si>
  <si>
    <t>BG SNOW WH 3X6 SBN</t>
  </si>
  <si>
    <t>U789-S4369</t>
  </si>
  <si>
    <t>BG TAUPE 3X6 SBN</t>
  </si>
  <si>
    <t>U289-S4369</t>
  </si>
  <si>
    <t>MG TAUPE 3X6 SBN</t>
  </si>
  <si>
    <t>759-S4369</t>
  </si>
  <si>
    <t>BG BLACK 3X6 SBN</t>
  </si>
  <si>
    <t>U081-S439</t>
  </si>
  <si>
    <t>3X9.5 BULLNOSE</t>
  </si>
  <si>
    <t>BG WHITE ICE 3X9.5 SBN</t>
  </si>
  <si>
    <t>U081-S4169</t>
  </si>
  <si>
    <t>4 1/4X16 BULLNOSE</t>
  </si>
  <si>
    <t>BG WHITE ICE 4 1/4X16 SBN</t>
  </si>
  <si>
    <t>U281-S4169</t>
  </si>
  <si>
    <t>MG WHITE ICE 4 1/4X16 SBN</t>
  </si>
  <si>
    <t>U761-S4169</t>
  </si>
  <si>
    <t>BG TENDER GRAY 4 1/4X16 SBN</t>
  </si>
  <si>
    <t>U261-S4169</t>
  </si>
  <si>
    <t>MG TENDER GRAY 4 1/4X16 SBN</t>
  </si>
  <si>
    <t>U074-S4169</t>
  </si>
  <si>
    <t>BG BISCUIT 4 1/4X16 SBN</t>
  </si>
  <si>
    <t>U274-S4169</t>
  </si>
  <si>
    <t>MG BISCUIT 4 1/4X16 SBN</t>
  </si>
  <si>
    <t>U081-S4449</t>
  </si>
  <si>
    <t>4 1/4X4 1/4 BULLNOSE</t>
  </si>
  <si>
    <t>BG WH ICE 4 1X4X4 1/4 SBN</t>
  </si>
  <si>
    <t>U261-S4449</t>
  </si>
  <si>
    <t>MG T.GRAY 4 1X4X4 1/4 SBN</t>
  </si>
  <si>
    <t>U074-S4449</t>
  </si>
  <si>
    <t>BG BISCUIT 4 1X4X4 1/4 SBN</t>
  </si>
  <si>
    <r>
      <rPr>
        <b/>
        <sz val="24"/>
        <color theme="1"/>
        <rFont val="Roca Light"/>
        <family val="3"/>
      </rPr>
      <t>COLOR COLLECTION - TRIMS</t>
    </r>
    <r>
      <rPr>
        <sz val="18"/>
        <color theme="1"/>
        <rFont val="Roca Light"/>
        <family val="3"/>
      </rPr>
      <t xml:space="preserve">     </t>
    </r>
    <r>
      <rPr>
        <sz val="22"/>
        <color theme="1"/>
        <rFont val="Roca Light"/>
        <family val="3"/>
      </rPr>
      <t xml:space="preserve">- </t>
    </r>
    <r>
      <rPr>
        <sz val="12"/>
        <color theme="1"/>
        <rFont val="Roca Light"/>
        <family val="3"/>
      </rPr>
      <t>CERAMIC WALL</t>
    </r>
  </si>
  <si>
    <t>U081-SN4449</t>
  </si>
  <si>
    <t>4 1/4X4 1/4 BULLNOSE CORNER</t>
  </si>
  <si>
    <t>BG WH ICE 4 1/4X4 1/4 SBN CRN</t>
  </si>
  <si>
    <t>U281-SN4449</t>
  </si>
  <si>
    <t>MG WH ICE 4 1/4X4 1/4 SBN CRN</t>
  </si>
  <si>
    <t>U761-SN4449</t>
  </si>
  <si>
    <t>BG T.GRAY 4 1/4X4 1/4 SBN CRN</t>
  </si>
  <si>
    <t>U261-SN4449</t>
  </si>
  <si>
    <t>MG T.GRAY 4 1/4X4 1/4 SBN CRN</t>
  </si>
  <si>
    <t>U274-SN4449</t>
  </si>
  <si>
    <t>MG BISCUIT 4 1/4X4 1/4 SBN CRN</t>
  </si>
  <si>
    <t>U739-SN4449</t>
  </si>
  <si>
    <t>BG RED PEPPER 4X4 SBN CRN</t>
  </si>
  <si>
    <t>U081-AT3401</t>
  </si>
  <si>
    <t>4 1/4X4 1/4 COVE BASE</t>
  </si>
  <si>
    <t>BG WHITE ICE 4 1/4X4 1/4 COVE - FLAT TOP</t>
  </si>
  <si>
    <t>U281-AT3401</t>
  </si>
  <si>
    <t>MG WHITE ICE 4 1/4X4 1/4 COVE - FLAT TOP</t>
  </si>
  <si>
    <t>U761-AT3401</t>
  </si>
  <si>
    <t>BG TENDER GRAY 4 1/4X4 1/4 COVE - FLAT TOP</t>
  </si>
  <si>
    <t>U261-AT3401</t>
  </si>
  <si>
    <t>MG TENDER GRAY 4 1/4X4 1/4 COVE - FLAT TOP</t>
  </si>
  <si>
    <t>U074-AT3401</t>
  </si>
  <si>
    <t>BG BISCUIT 4 1/4X4 1/4 COVE - FLAT TOP</t>
  </si>
  <si>
    <t>U274-AT3401</t>
  </si>
  <si>
    <t>MG BISCUIT 4 1/4X4 1/4 COVE - FLAT TOP</t>
  </si>
  <si>
    <t>U289-AT3401</t>
  </si>
  <si>
    <t>MG TAUPE 4 1/4X4 1/4 COVE - FLAT TOP</t>
  </si>
  <si>
    <t>081-STCL3401</t>
  </si>
  <si>
    <t>4 1/4X4 1/4 LEFT COVE CORNER</t>
  </si>
  <si>
    <t>BG WHITE ICE 4 1/4X4 1/4 LC CRN</t>
  </si>
  <si>
    <t>281-STCL3401</t>
  </si>
  <si>
    <t>MG WHITE ICE 4 1/4X4 1/4 LC CRN</t>
  </si>
  <si>
    <t>081-STCR3401</t>
  </si>
  <si>
    <t>4 1/4X4 1/4 RIGHT COVE CORNER</t>
  </si>
  <si>
    <t>BG WHITE ICE 4 1/4X4 1/4 RC CRN</t>
  </si>
  <si>
    <t>281-STCR3401</t>
  </si>
  <si>
    <t>MG WHITE ICE 4 1/4X4 1/4 RC CRN</t>
  </si>
  <si>
    <t>U081-AT3410</t>
  </si>
  <si>
    <t>4 1/4X6 COVE BASE</t>
  </si>
  <si>
    <t>BG WHITE ICE 4X6 COVE - ROUND TOP</t>
  </si>
  <si>
    <t>U281-AT3410</t>
  </si>
  <si>
    <t>MG WHITE ICE 4X6 COVE - ROUND TOP</t>
  </si>
  <si>
    <t>U761-AT3410</t>
  </si>
  <si>
    <t>BG TENDER GRAY 4X6 COVE - ROUND TOP</t>
  </si>
  <si>
    <t>U261-AT3410</t>
  </si>
  <si>
    <t>MG TENDER GRAY 4X6 COVE - ROUND TOP</t>
  </si>
  <si>
    <t>U074-AT3410</t>
  </si>
  <si>
    <t>BG BISCUIT 4X6 COVE - ROUND TOP</t>
  </si>
  <si>
    <t>U274-AT3410</t>
  </si>
  <si>
    <t>MG BISCUIT 4X6 COVE - ROUND TOP</t>
  </si>
  <si>
    <t>081-ATCL3410</t>
  </si>
  <si>
    <t>4 1/4X6 LEFT COVE CORNER</t>
  </si>
  <si>
    <t>BG WHITE ICE 4 1/4X6 LC CRN</t>
  </si>
  <si>
    <t>281-ATCL3410</t>
  </si>
  <si>
    <t>MG WHITE ICE 4 1/4X6 LC CRN</t>
  </si>
  <si>
    <t>761-ATCL3410</t>
  </si>
  <si>
    <t>BG TENDER GRAY 4 1/4X6 LC CRN</t>
  </si>
  <si>
    <t>261-ATCL3410</t>
  </si>
  <si>
    <t>MG TENDER GRAY 4 1/4X6 LC CRN</t>
  </si>
  <si>
    <t>074-ATCL3410</t>
  </si>
  <si>
    <t>BG BISCUIT 4 1/4X6 LC CRN</t>
  </si>
  <si>
    <t>274-ATCL3410</t>
  </si>
  <si>
    <t>MG BISCUIT 4 1/4X6 LC CRN</t>
  </si>
  <si>
    <t>081-ATCR3410</t>
  </si>
  <si>
    <t>4 1/4X6 RIGHT COVE CORNER</t>
  </si>
  <si>
    <t>BG WHITE ICE 4 1/4X6 RC CRN</t>
  </si>
  <si>
    <t>281-ATCR3410</t>
  </si>
  <si>
    <t>MG WHITE ICE 4 1/4X6 RC CRN</t>
  </si>
  <si>
    <t>761-ATCR3410</t>
  </si>
  <si>
    <t>BG TENDER GRAY 4 1/4X6 RC CRN</t>
  </si>
  <si>
    <t>261-ATCR3410</t>
  </si>
  <si>
    <t>MG TENDER GRAY 4 1/4X6 RC CRN</t>
  </si>
  <si>
    <t>074-ATCR3410</t>
  </si>
  <si>
    <t>BG BISCUIT 4 1/4X6 RC CRN</t>
  </si>
  <si>
    <t>274-ATCR3410</t>
  </si>
  <si>
    <t>MG BISCUIT 4 1/4X6 RC CRN</t>
  </si>
  <si>
    <t>U081-S4618</t>
  </si>
  <si>
    <t>BG WHITE ICE 6X18 SBN</t>
  </si>
  <si>
    <t>U281-S4618</t>
  </si>
  <si>
    <t>MG WHITE ICE 6X18 SBN</t>
  </si>
  <si>
    <t>U761-S4618</t>
  </si>
  <si>
    <t>BG TENDER GRAY 6X18 SBN</t>
  </si>
  <si>
    <t>U074-S4618</t>
  </si>
  <si>
    <t>BG BISCUIT 6X18 SBN</t>
  </si>
  <si>
    <r>
      <rPr>
        <b/>
        <sz val="24"/>
        <color theme="1"/>
        <rFont val="Roca Light"/>
        <family val="3"/>
      </rPr>
      <t>COLOR COLLECTION - TRIMS</t>
    </r>
    <r>
      <rPr>
        <sz val="18"/>
        <color theme="1"/>
        <rFont val="Roca Light"/>
        <family val="3"/>
      </rPr>
      <t xml:space="preserve">      </t>
    </r>
    <r>
      <rPr>
        <sz val="22"/>
        <color theme="1"/>
        <rFont val="Roca Light"/>
        <family val="3"/>
      </rPr>
      <t xml:space="preserve">- </t>
    </r>
    <r>
      <rPr>
        <sz val="12"/>
        <color theme="1"/>
        <rFont val="Roca Light"/>
        <family val="3"/>
      </rPr>
      <t>CERAMIC WALL</t>
    </r>
  </si>
  <si>
    <t>081-S4669</t>
  </si>
  <si>
    <t>6X6 BULLNOSE</t>
  </si>
  <si>
    <t>BG WHITE ICE 6X6 SBN</t>
  </si>
  <si>
    <t>281-S4669</t>
  </si>
  <si>
    <t>MG WHITE ICE 6X6 SBN</t>
  </si>
  <si>
    <t>761-S4669</t>
  </si>
  <si>
    <t>BG TENDER GRAY 6X6 SBN</t>
  </si>
  <si>
    <t>261-S4669</t>
  </si>
  <si>
    <t>MG TENDER GRAY 6X6 SBN</t>
  </si>
  <si>
    <t>074-S4669</t>
  </si>
  <si>
    <t>BG BISCUIT 6X6 SBN</t>
  </si>
  <si>
    <t>274-S4669</t>
  </si>
  <si>
    <t>MG BISCUIT 6X6 SBN</t>
  </si>
  <si>
    <t>U739-S4669</t>
  </si>
  <si>
    <t>BG RED PEPPER 6X6 SBN</t>
  </si>
  <si>
    <t>081-SN4669</t>
  </si>
  <si>
    <t>6X6 BULLNOSE CORNER</t>
  </si>
  <si>
    <t>BG WHITE ICE 6X6 SBN CRN</t>
  </si>
  <si>
    <t>281-SN4669</t>
  </si>
  <si>
    <t>MG WHITE ICE 6X6 SBN CRN</t>
  </si>
  <si>
    <t>261-SN4669</t>
  </si>
  <si>
    <t>MG TENDER GRAY 6X6 SBN CRN</t>
  </si>
  <si>
    <t>074-SN4669</t>
  </si>
  <si>
    <t>BG BISCUIT 6X6 SBN CRN</t>
  </si>
  <si>
    <t>274-SN4669</t>
  </si>
  <si>
    <t>MG BISCUIT 6X6 SBN CRN</t>
  </si>
  <si>
    <t>U739-SN4669</t>
  </si>
  <si>
    <t>BG RED PEPPER 6X6 SBN CRN</t>
  </si>
  <si>
    <t>U081-S3619TN</t>
  </si>
  <si>
    <t>6X6 COVE BASE</t>
  </si>
  <si>
    <t>BG WHITE ICE 6X6 SANITARY COVE - ROUND TOP</t>
  </si>
  <si>
    <t>U081-AT3610</t>
  </si>
  <si>
    <t>BG WHITE ICE 6X6 COVE - ROUND TOP</t>
  </si>
  <si>
    <t>U281-AT3610</t>
  </si>
  <si>
    <t>MG WHITE ICE 6X6 COVE - ROUND TOP</t>
  </si>
  <si>
    <t>U761-AT3610</t>
  </si>
  <si>
    <t>BG TENDER GRAY 6X6 COVE - ROUND TOP</t>
  </si>
  <si>
    <t>U261-AT3610</t>
  </si>
  <si>
    <t>MG TENDER GRAY 6X6 COVE - ROUND TOP</t>
  </si>
  <si>
    <t>U074-AT3610</t>
  </si>
  <si>
    <t>BG BISCUIT 6X6 COVE - ROUND TOP</t>
  </si>
  <si>
    <t>U274-AT3610</t>
  </si>
  <si>
    <t>MG BISCUIT 6X6 COVE - ROUND TOP</t>
  </si>
  <si>
    <t>U072-AT3610</t>
  </si>
  <si>
    <t>BG SNOW WHITE 6X6 COVE - ROUND TOP</t>
  </si>
  <si>
    <t>U759-AT3610</t>
  </si>
  <si>
    <t>BG BLACK 6X6 COVE - ROUND TOP</t>
  </si>
  <si>
    <t>081-ATCL3610</t>
  </si>
  <si>
    <t>6X6 LEFT COVE CORNER</t>
  </si>
  <si>
    <t>BG WHITE ICE 6X6 LC CRN</t>
  </si>
  <si>
    <t>281-ATCL3610</t>
  </si>
  <si>
    <t>MG WHITE ICE 6X6 LC CRN</t>
  </si>
  <si>
    <t>761-ATCL3610</t>
  </si>
  <si>
    <t>BG TENDER GRAY 6X6 LC CRN</t>
  </si>
  <si>
    <t>261-ATCL3610</t>
  </si>
  <si>
    <t>MG TENDER GRAY 6X6 LC CRN</t>
  </si>
  <si>
    <t>074-ATCL3610</t>
  </si>
  <si>
    <t>BG BISCUIT 6X6 LC CRN</t>
  </si>
  <si>
    <t>274-ATCL3610</t>
  </si>
  <si>
    <t>MG BISCUIT 6X6 LC CRN</t>
  </si>
  <si>
    <t>081-ATCR3610</t>
  </si>
  <si>
    <t>6X6 RIGHT COVE CORNER</t>
  </si>
  <si>
    <t>BG WHITE ICE 6X6 RC CRN</t>
  </si>
  <si>
    <t>281-ATCR3610</t>
  </si>
  <si>
    <t>MG WHITE ICE 6X6 RC CRN</t>
  </si>
  <si>
    <t>761-ATCR3610</t>
  </si>
  <si>
    <t>BG TENDER GRAY 6X6 RC CRN</t>
  </si>
  <si>
    <t>261-ATCR3610</t>
  </si>
  <si>
    <t>MG TENDER GRAY 6X6 RC CRN</t>
  </si>
  <si>
    <t>074-ATCR3610</t>
  </si>
  <si>
    <t>BG BISCUIT 6X6 RC CRN</t>
  </si>
  <si>
    <t>274-ATCR3610</t>
  </si>
  <si>
    <t>MG BISCUIT 6X6 RC CRN</t>
  </si>
  <si>
    <t>CONTOUR</t>
  </si>
  <si>
    <t>UCONTOB812M</t>
  </si>
  <si>
    <t>8X12 MESH</t>
  </si>
  <si>
    <t>CONTOUR BG BURGUNDY 8X12 MESH</t>
  </si>
  <si>
    <t>494.1</t>
  </si>
  <si>
    <t>UCONTOC812M</t>
  </si>
  <si>
    <t>CONTOUR BG COBALT 8X12 MESH</t>
  </si>
  <si>
    <t>UCONTOM812M</t>
  </si>
  <si>
    <t>CONTOUR BG MOCHA 8X12 MESH</t>
  </si>
  <si>
    <t>UCONTOA812M</t>
  </si>
  <si>
    <t>CONTOUR BG ALABASTER 8X12 MESH</t>
  </si>
  <si>
    <r>
      <t xml:space="preserve">CRYSTAL  -  </t>
    </r>
    <r>
      <rPr>
        <sz val="12"/>
        <rFont val="Roca Light"/>
        <family val="3"/>
      </rPr>
      <t>POLISHED PORCELAIN</t>
    </r>
  </si>
  <si>
    <t>ICFCR01-2448PO</t>
  </si>
  <si>
    <t>CRYSTAL WHITE 24X48 R PO</t>
  </si>
  <si>
    <t>ICFCR0N-2448PO</t>
  </si>
  <si>
    <r>
      <rPr>
        <b/>
        <sz val="24"/>
        <rFont val="Roca Light"/>
        <family val="3"/>
      </rPr>
      <t xml:space="preserve">DECORATIVE ACCENTS &amp; TRIMS   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CERAMIC WALL</t>
    </r>
  </si>
  <si>
    <t>U081-VICTORIAN</t>
  </si>
  <si>
    <t>2 1/2X6 LISTEL</t>
  </si>
  <si>
    <t>2 1/2X6 WHITE ICE CHAIR RAIL</t>
  </si>
  <si>
    <t>U759-VICTORIAN</t>
  </si>
  <si>
    <t>2 1/2X6 BLACK CHAIR RAIL</t>
  </si>
  <si>
    <t>759-76</t>
  </si>
  <si>
    <t>3/4X6 LINER</t>
  </si>
  <si>
    <t>ACCENTS BLACK 3/4X6 LINER</t>
  </si>
  <si>
    <t>081-76</t>
  </si>
  <si>
    <t>ACCENTS WH ICE 3/4X6 LINER</t>
  </si>
  <si>
    <t>081-678</t>
  </si>
  <si>
    <t>7/8X6 ROPE</t>
  </si>
  <si>
    <t>ACCENTS WH ICE 7/8X6 ROPE</t>
  </si>
  <si>
    <t>759-678</t>
  </si>
  <si>
    <t>ACCENTS BLACK 7/8X6 ROPE</t>
  </si>
  <si>
    <t>072-678</t>
  </si>
  <si>
    <t>ACCENTS SNOW WH 7/8X6 ROPE</t>
  </si>
  <si>
    <t>U081-CORNICE</t>
  </si>
  <si>
    <t>2 3/4 X10 MOULDING</t>
  </si>
  <si>
    <t>BG WHITE ICE 2 3/4X10 CORNICE</t>
  </si>
  <si>
    <t>U081-CHAIR</t>
  </si>
  <si>
    <t>2X10 MOULDING</t>
  </si>
  <si>
    <t>BG WHITE ICE 2X10 CHAIR RAIL</t>
  </si>
  <si>
    <t>U081-SINK</t>
  </si>
  <si>
    <t>3X10 MOULDING</t>
  </si>
  <si>
    <t>BG WHITE ICE 3X10 SINK RAIL</t>
  </si>
  <si>
    <t>U081-SANITARY</t>
  </si>
  <si>
    <t>6X10 BASE MOULDING</t>
  </si>
  <si>
    <t>BG WHITE ICE 6X10 SKIRTING BASEBOARD</t>
  </si>
  <si>
    <t>U081-CHAIR-OC</t>
  </si>
  <si>
    <t>2 X3/4 OUTCORNER</t>
  </si>
  <si>
    <t>BG WHITE ICE CHAIR RAIL 2X3/4 OC</t>
  </si>
  <si>
    <t>U081-CRN-OC</t>
  </si>
  <si>
    <t>BG WHITE ICE SINK RAIL 2X3/4 OC</t>
  </si>
  <si>
    <t>U081-SKIRT-OC</t>
  </si>
  <si>
    <t>1/2 X6 OUTCORNER</t>
  </si>
  <si>
    <t>BG WHITE ICE SKIRTING 1/2X6 OC</t>
  </si>
  <si>
    <t>U081-TWIST</t>
  </si>
  <si>
    <t>1/2X10 PENCIL</t>
  </si>
  <si>
    <t>BG WHITE ICE TWIST 1/2X10 PENCIL</t>
  </si>
  <si>
    <r>
      <rPr>
        <b/>
        <sz val="24"/>
        <color rgb="FF000000"/>
        <rFont val="Roca Light"/>
        <family val="3"/>
      </rPr>
      <t>DERBY</t>
    </r>
    <r>
      <rPr>
        <sz val="22"/>
        <color rgb="FF000000"/>
        <rFont val="Roca Light"/>
        <family val="3"/>
      </rPr>
      <t xml:space="preserve"> </t>
    </r>
    <r>
      <rPr>
        <sz val="12"/>
        <color rgb="FF000000"/>
        <rFont val="Roca Light"/>
        <family val="3"/>
      </rPr>
      <t>- GLAZED PORCELAIN</t>
    </r>
  </si>
  <si>
    <t>FZ50A60021</t>
  </si>
  <si>
    <t>DERBY GRIS 24X24R</t>
  </si>
  <si>
    <t>DOLCE + VITA</t>
  </si>
  <si>
    <t>F060A60041</t>
  </si>
  <si>
    <t>DOLCE BEIGE 24X24 R</t>
  </si>
  <si>
    <t>F060A60021</t>
  </si>
  <si>
    <t>DOLCE GRIS 24X24 R</t>
  </si>
  <si>
    <t>F060H60041</t>
  </si>
  <si>
    <t>VITA BEIGE 24X24 R</t>
  </si>
  <si>
    <t>F060H60021</t>
  </si>
  <si>
    <t>VITA GRIS 24X24 R</t>
  </si>
  <si>
    <t>F06A5EF041</t>
  </si>
  <si>
    <t>SUITE VITA BEIGE 12X36 R</t>
  </si>
  <si>
    <t>F06A5EF021</t>
  </si>
  <si>
    <t>SUITE VITA GRIS 12X36 R</t>
  </si>
  <si>
    <t>F060A4O021</t>
  </si>
  <si>
    <t>DOLCE GRIS 48X48 R</t>
  </si>
  <si>
    <t>F060A4O041</t>
  </si>
  <si>
    <t>DOLCE BEIGE 48X48 R</t>
  </si>
  <si>
    <r>
      <rPr>
        <b/>
        <sz val="24"/>
        <color rgb="FF000000"/>
        <rFont val="Roca Light"/>
        <family val="3"/>
      </rPr>
      <t xml:space="preserve">DOWNTOWN   </t>
    </r>
    <r>
      <rPr>
        <sz val="22"/>
        <color rgb="FF000000"/>
        <rFont val="Roca Light"/>
        <family val="3"/>
      </rPr>
      <t xml:space="preserve"> </t>
    </r>
    <r>
      <rPr>
        <sz val="12"/>
        <color rgb="FF000000"/>
        <rFont val="Roca Light"/>
        <family val="3"/>
      </rPr>
      <t>- COLOR BODY</t>
    </r>
    <r>
      <rPr>
        <sz val="22"/>
        <color rgb="FF000000"/>
        <rFont val="Roca Light"/>
        <family val="3"/>
      </rPr>
      <t xml:space="preserve"> </t>
    </r>
    <r>
      <rPr>
        <sz val="12"/>
        <color rgb="FF000000"/>
        <rFont val="Roca Light"/>
        <family val="3"/>
      </rPr>
      <t>PORCELAIN</t>
    </r>
  </si>
  <si>
    <t>NEW CODES</t>
  </si>
  <si>
    <t>FJT0A57011</t>
  </si>
  <si>
    <t>DOWNTOWN BLANCO 12X24 R</t>
  </si>
  <si>
    <t>FJT0A57021</t>
  </si>
  <si>
    <t>DOWNTOWN GREY 12X24 R</t>
  </si>
  <si>
    <t>FJT0A57031</t>
  </si>
  <si>
    <t>DOWNTOWN MARENGO 12X24 R</t>
  </si>
  <si>
    <t>FJT0A57311</t>
  </si>
  <si>
    <t>DOWNTOWN ANTRACITA 12X24 R</t>
  </si>
  <si>
    <t>FJT0A60031</t>
  </si>
  <si>
    <t>DOWNTOWN MARENGO 24X24 R</t>
  </si>
  <si>
    <t>FJT7A60311</t>
  </si>
  <si>
    <t>DOWNTOWN ANTRACITA 24X24 R</t>
  </si>
  <si>
    <t>FJT7B60011</t>
  </si>
  <si>
    <t>DOWNTOWN BLANCO 24X24 R</t>
  </si>
  <si>
    <t>FJT0A60021</t>
  </si>
  <si>
    <t>DOWNTOWN GREY 24X24 R</t>
  </si>
  <si>
    <t>FJT4TBY011</t>
  </si>
  <si>
    <t>3X24 BULLNOSE</t>
  </si>
  <si>
    <t>DOWNTOWN BL 3X24 SBN</t>
  </si>
  <si>
    <t>FJT4TBY021</t>
  </si>
  <si>
    <t>DOWNTOWN GR 3X24 SBN</t>
  </si>
  <si>
    <t>FJTE066011</t>
  </si>
  <si>
    <t>FJTE066021</t>
  </si>
  <si>
    <t>FJT7T30011</t>
  </si>
  <si>
    <t>MALLA DOWNTOWN BLANCO 12X12</t>
  </si>
  <si>
    <t>FJT7T30021</t>
  </si>
  <si>
    <t>MALLA DOWNTOWN GREY 12X12</t>
  </si>
  <si>
    <t>FJTE030011</t>
  </si>
  <si>
    <t>FJTE030021</t>
  </si>
  <si>
    <r>
      <rPr>
        <b/>
        <sz val="24"/>
        <rFont val="Roca Light"/>
        <family val="3"/>
      </rPr>
      <t xml:space="preserve">ESSENCE -    </t>
    </r>
    <r>
      <rPr>
        <sz val="12"/>
        <rFont val="Roca Light"/>
        <family val="3"/>
      </rPr>
      <t>GLAZED PORCELAIN</t>
    </r>
  </si>
  <si>
    <t>AESSASHM935</t>
  </si>
  <si>
    <t>9X35 FIELD</t>
  </si>
  <si>
    <t>ESSENCE ASH 9''x35''</t>
  </si>
  <si>
    <t>AESSPEAM935</t>
  </si>
  <si>
    <t>ESSENCE PEARL 9"X35"</t>
  </si>
  <si>
    <t>AESSSILM935</t>
  </si>
  <si>
    <t>ESSENCE SILVER 9"X35"</t>
  </si>
  <si>
    <t>AESSMAPM935</t>
  </si>
  <si>
    <t>ESSENCE MAPLE 9"X35"</t>
  </si>
  <si>
    <r>
      <rPr>
        <b/>
        <sz val="24"/>
        <rFont val="Roca Light"/>
        <family val="3"/>
      </rPr>
      <t xml:space="preserve">EVERGLADE -    </t>
    </r>
    <r>
      <rPr>
        <sz val="12"/>
        <rFont val="Roca Light"/>
        <family val="3"/>
      </rPr>
      <t>GLAZED PORCELAIN</t>
    </r>
  </si>
  <si>
    <t>ICFEVE01-848</t>
  </si>
  <si>
    <t>EVERGLADE SILVER GRAY 8X48 R</t>
  </si>
  <si>
    <t>ICFEVE02-848</t>
  </si>
  <si>
    <t>EVERGLADE WARM GRAY 8X48 R</t>
  </si>
  <si>
    <t>ICFEVE03-848</t>
  </si>
  <si>
    <t>EVERGLADE FOREST 8X48 R</t>
  </si>
  <si>
    <t>ICFEVE04-848</t>
  </si>
  <si>
    <t>EVERGLADE NOGALES 8X48 R</t>
  </si>
  <si>
    <t>UEVERGL1LCI</t>
  </si>
  <si>
    <t>UEVERGL1LCF</t>
  </si>
  <si>
    <t>UEVERGL1LCH</t>
  </si>
  <si>
    <r>
      <rPr>
        <b/>
        <sz val="24"/>
        <rFont val="Roca Light"/>
        <family val="3"/>
      </rPr>
      <t>FEATHERS</t>
    </r>
    <r>
      <rPr>
        <sz val="12"/>
        <rFont val="Roca Light"/>
        <family val="3"/>
      </rPr>
      <t xml:space="preserve">      - CERAMIC WALL</t>
    </r>
  </si>
  <si>
    <t>UFEWHIBG312</t>
  </si>
  <si>
    <t>FEATHERS WHITE ICE BG 3X12</t>
  </si>
  <si>
    <t>UFEWHIMG312</t>
  </si>
  <si>
    <t>FEATHERS WHITE ICE MG 3X12</t>
  </si>
  <si>
    <t>UFEWOOBG312</t>
  </si>
  <si>
    <t>FEATHERS WOOL BG 3X12</t>
  </si>
  <si>
    <t>UFEGRSBG312</t>
  </si>
  <si>
    <t>FEATHERS GRASS BG 3X12</t>
  </si>
  <si>
    <t>UFESEABG312</t>
  </si>
  <si>
    <t>FEATHER SEAGRASS BG 3X12</t>
  </si>
  <si>
    <r>
      <rPr>
        <b/>
        <sz val="24"/>
        <rFont val="Roca Light"/>
        <family val="3"/>
      </rPr>
      <t>FORGE</t>
    </r>
    <r>
      <rPr>
        <sz val="12"/>
        <rFont val="Roca Light"/>
        <family val="3"/>
      </rPr>
      <t xml:space="preserve">      - QUARRY TILE</t>
    </r>
  </si>
  <si>
    <t>UQUARMG166O</t>
  </si>
  <si>
    <t>6X6 SPANISH RED SMOOTH QUARRY</t>
  </si>
  <si>
    <t>UQUARAG166O</t>
  </si>
  <si>
    <t>6X6 SPANISH RED ABRASIVE QUARRY</t>
  </si>
  <si>
    <t>Full Pallet only</t>
  </si>
  <si>
    <t>UQUARMG166F</t>
  </si>
  <si>
    <t>6X6 SAHARA SMOOTH QUARRY</t>
  </si>
  <si>
    <t>UQUARSG166I</t>
  </si>
  <si>
    <t>6X6 QUARRY SPANISH GRAY SMOOTH</t>
  </si>
  <si>
    <t>UQUARMG166I</t>
  </si>
  <si>
    <t>6X6 QUARRY SPANISH GRAY ABS</t>
  </si>
  <si>
    <t>UQUICMG116O</t>
  </si>
  <si>
    <t>1X6 TRIM</t>
  </si>
  <si>
    <t>1X6 SPANISH RED INSIDE CORNER </t>
  </si>
  <si>
    <t>UQUOCMG116O</t>
  </si>
  <si>
    <t>1X6 SPANISH RED OUTSIDE CORNER </t>
  </si>
  <si>
    <t>Full Boxes only</t>
  </si>
  <si>
    <t>UQUICMG116F</t>
  </si>
  <si>
    <t xml:space="preserve">1X6 SAHARA SMOOTH INSIDE CORNER </t>
  </si>
  <si>
    <t>UQUOCMG116F</t>
  </si>
  <si>
    <t xml:space="preserve">1X6 SAHARA SMOOTH OUTSIDE CORNER </t>
  </si>
  <si>
    <t>UQUICMG116I</t>
  </si>
  <si>
    <t xml:space="preserve">1X6 SPANISH GRAY SMOOTH INSIDE CORNER </t>
  </si>
  <si>
    <t>UQUOCMG116I</t>
  </si>
  <si>
    <t xml:space="preserve">1X6 SPANISH GRAY SMOOTH OUTSIDE CORNER </t>
  </si>
  <si>
    <t>UQUCBMG166O</t>
  </si>
  <si>
    <t>6X6 TRIM</t>
  </si>
  <si>
    <t>6X6 SPANISH RED COVE QUARRY </t>
  </si>
  <si>
    <t>UQUBBMG166O</t>
  </si>
  <si>
    <t>6X6 SPANISH RED BULLNOSE QUARRY</t>
  </si>
  <si>
    <t>UQUCBMG166F</t>
  </si>
  <si>
    <t xml:space="preserve">6X6 SAHARA COVE QUARRY </t>
  </si>
  <si>
    <t>UQUBBMG166F</t>
  </si>
  <si>
    <t xml:space="preserve">6X6 SAHARA BULLNOSE QUARRY </t>
  </si>
  <si>
    <t>UQUCBMG166I</t>
  </si>
  <si>
    <t xml:space="preserve">6X6 SPANISH GRAY COVE QUARRY </t>
  </si>
  <si>
    <r>
      <rPr>
        <b/>
        <sz val="24"/>
        <rFont val="Roca Light"/>
        <family val="3"/>
      </rPr>
      <t>FLOW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CERAMIC WALL &amp; GRES STONEWARE</t>
    </r>
  </si>
  <si>
    <t>FLOWH17-312</t>
  </si>
  <si>
    <t>FLOW WHITE 3X12</t>
  </si>
  <si>
    <t>FLOFWH11-312</t>
  </si>
  <si>
    <t>FLOW FROST 3X12</t>
  </si>
  <si>
    <t>FLOLV07-312</t>
  </si>
  <si>
    <t>FLOW LAVENDER 3X12</t>
  </si>
  <si>
    <t>FLODG08-312</t>
  </si>
  <si>
    <t>FLOW DARK GRAY 3X12</t>
  </si>
  <si>
    <t>FLOTG10-312</t>
  </si>
  <si>
    <t>FLOW TENDER GRAY 3X12</t>
  </si>
  <si>
    <t>FLOVP05-312</t>
  </si>
  <si>
    <t>FLOW VELVET PINK 3X12</t>
  </si>
  <si>
    <t>FLOPG02-312</t>
  </si>
  <si>
    <t>FLOW PEACOCK GREEN 3X12</t>
  </si>
  <si>
    <t>FLOLG10-312</t>
  </si>
  <si>
    <t>FLOW LIVING GREEN 3X12</t>
  </si>
  <si>
    <t>FLOAB03-312</t>
  </si>
  <si>
    <t>FLOW ATOLL BLUE 3X12</t>
  </si>
  <si>
    <t>FLOCB09-312</t>
  </si>
  <si>
    <t>FLOW COSMIC SAPPHIRE 3X12</t>
  </si>
  <si>
    <t>FLOWH17-312P</t>
  </si>
  <si>
    <t>FLOW WHITE 3X12 PICKET</t>
  </si>
  <si>
    <t>FLOTG10-312P </t>
  </si>
  <si>
    <t>FLOW TENDER GRAY 3X12 PICKET</t>
  </si>
  <si>
    <t>FLODG08-312P  </t>
  </si>
  <si>
    <t>FLOW DARK GRAY 3X12 PICKET</t>
  </si>
  <si>
    <t>FLOPG02-312P  </t>
  </si>
  <si>
    <t>FLOW PEACOCK GREEN 3X12 PICKET</t>
  </si>
  <si>
    <t>FLOCB09-312P    </t>
  </si>
  <si>
    <t>FLOW COSMIC SAPPHIRE 3X12 PICKET</t>
  </si>
  <si>
    <t>FLOWH17-S4312</t>
  </si>
  <si>
    <t>FLOW WHITE 3X12 SBN</t>
  </si>
  <si>
    <t>FLOTG10-S4312</t>
  </si>
  <si>
    <t>FLOW TENDER GRAY 3X12 SBN</t>
  </si>
  <si>
    <t>FLODG08-S4312</t>
  </si>
  <si>
    <t>FLOW DARK GRAY 3X12 SBN</t>
  </si>
  <si>
    <r>
      <rPr>
        <b/>
        <sz val="24"/>
        <rFont val="Roca Light"/>
        <family val="3"/>
      </rPr>
      <t xml:space="preserve">GROOVE   </t>
    </r>
    <r>
      <rPr>
        <sz val="12"/>
        <rFont val="Roca Light"/>
        <family val="3"/>
      </rPr>
      <t>- CERAMIC WALL</t>
    </r>
  </si>
  <si>
    <t>F8000AW011</t>
  </si>
  <si>
    <t>GROOVE WHITE 12X36 R</t>
  </si>
  <si>
    <r>
      <rPr>
        <b/>
        <sz val="24"/>
        <rFont val="Roca Light"/>
        <family val="3"/>
      </rPr>
      <t xml:space="preserve">HARMONY  </t>
    </r>
    <r>
      <rPr>
        <sz val="12"/>
        <rFont val="Roca Light"/>
        <family val="3"/>
      </rPr>
      <t>- CERAMIC WALL</t>
    </r>
  </si>
  <si>
    <t>UHARMON312U</t>
  </si>
  <si>
    <t>HARMONY BONE 3X12</t>
  </si>
  <si>
    <t>UHARMON312C</t>
  </si>
  <si>
    <t>HARMONY INDIGO 3X12</t>
  </si>
  <si>
    <t>UHARMON312E</t>
  </si>
  <si>
    <t>HARMONY MOKA 3X12</t>
  </si>
  <si>
    <t>UHARMON312L</t>
  </si>
  <si>
    <t>HARMONY SILVER 3X12</t>
  </si>
  <si>
    <t>UHARMON312X</t>
  </si>
  <si>
    <t>HARMONY SKY 3X12</t>
  </si>
  <si>
    <r>
      <rPr>
        <b/>
        <sz val="24"/>
        <rFont val="Roca Light"/>
        <family val="3"/>
      </rPr>
      <t>JEWELS</t>
    </r>
    <r>
      <rPr>
        <sz val="22"/>
        <rFont val="Roca Light"/>
        <family val="3"/>
      </rPr>
      <t xml:space="preserve">     </t>
    </r>
    <r>
      <rPr>
        <sz val="12"/>
        <rFont val="Roca Light"/>
        <family val="3"/>
      </rPr>
      <t>- GLAZED &amp; POLISHED PORCELAIN</t>
    </r>
  </si>
  <si>
    <t>ULAURUP16HV</t>
  </si>
  <si>
    <t>12x24 FIELD</t>
  </si>
  <si>
    <t>LAURENT WHITE UP 12"X24" R</t>
  </si>
  <si>
    <t>ULAURPO16HV</t>
  </si>
  <si>
    <t>LAURENT WHITE PO 12"X24" R</t>
  </si>
  <si>
    <t>UMATTIUP16HV</t>
  </si>
  <si>
    <t>MATTIA WHITE UP 12"X24" R</t>
  </si>
  <si>
    <t>UMATTIPO16HV</t>
  </si>
  <si>
    <t>MATTIA WHITE PO 12"X24" R</t>
  </si>
  <si>
    <t>UETIENUP16HE</t>
  </si>
  <si>
    <t>ETIENNE CREAM UP 12"X24"R</t>
  </si>
  <si>
    <t>UETIENPO16HE</t>
  </si>
  <si>
    <t>ETIENNE CREAM PO 12"X24"R</t>
  </si>
  <si>
    <t>UETIENUP16HL</t>
  </si>
  <si>
    <t>ETIENNE LIGHT GRAY UP 12"X24"R</t>
  </si>
  <si>
    <t>UETIENPO16HL</t>
  </si>
  <si>
    <t>ETIENNE LIGHT GRAY PO 12"X24"R</t>
  </si>
  <si>
    <t>UETIENUP16HI</t>
  </si>
  <si>
    <t>ETIENNE GRAY UP 12"X24"R</t>
  </si>
  <si>
    <t>UETIENPO16HI</t>
  </si>
  <si>
    <t>ETIENNE GRAY PO 12"X24"R</t>
  </si>
  <si>
    <t>UTHERRUP16HE</t>
  </si>
  <si>
    <t>THERRY CREAM UP 12"X24"R</t>
  </si>
  <si>
    <t>UTHERRPO16HE</t>
  </si>
  <si>
    <t>THERRY CREAM PO 12"X24"R</t>
  </si>
  <si>
    <t>UVINCEPO16HV</t>
  </si>
  <si>
    <t>VINCE WHITE PO 12"X24"R</t>
  </si>
  <si>
    <t>UVINCEUP16HV</t>
  </si>
  <si>
    <t>VINCE WHITE UP 12"X24"R</t>
  </si>
  <si>
    <t>ULAURPO1LBV</t>
  </si>
  <si>
    <t>LAURENT WHITE PO 24"X48" R</t>
  </si>
  <si>
    <t>UMATTIUP1LBV</t>
  </si>
  <si>
    <t>MATTIA WHITE UP 24"X48" R</t>
  </si>
  <si>
    <t>UMATTIPO1LBV</t>
  </si>
  <si>
    <t>MATTIA WHITE PO 24"X48" R</t>
  </si>
  <si>
    <t>UETIENUP1LBE</t>
  </si>
  <si>
    <t>ETIENNE CREAM UP 24"X48"R</t>
  </si>
  <si>
    <t>UETIENPO1LBE</t>
  </si>
  <si>
    <t>ETIENNE CREAM PO 24"X48"R</t>
  </si>
  <si>
    <t>UETIENUP1LBL</t>
  </si>
  <si>
    <t>ETIENNE LIGHT GRAY UP 24"X48"R</t>
  </si>
  <si>
    <t>UETIENPO1LBL</t>
  </si>
  <si>
    <t>ETIENNE LIGHT GRAY PO 24"X48"R</t>
  </si>
  <si>
    <t>UETIENUP1LBI</t>
  </si>
  <si>
    <t>ETIENNE GRAY UP 24"X48"R</t>
  </si>
  <si>
    <t>UETIENPO1LBI</t>
  </si>
  <si>
    <t>ETIENNE GRAY PO 24"X48"R</t>
  </si>
  <si>
    <t>UVINCEUP1LBV</t>
  </si>
  <si>
    <t>VINCE WHITE UP 24"X48"R</t>
  </si>
  <si>
    <t>UVINCEPO1LBV</t>
  </si>
  <si>
    <t>VINCE WHITE PO 24"X48"R</t>
  </si>
  <si>
    <t>UMAURPO1LBW</t>
  </si>
  <si>
    <t>MAURICE BLACK PO 24"X48" R</t>
  </si>
  <si>
    <r>
      <rPr>
        <b/>
        <sz val="24"/>
        <rFont val="Roca Light"/>
        <family val="3"/>
      </rPr>
      <t>JOY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CERAMIC WALL</t>
    </r>
  </si>
  <si>
    <t>JOYLV28-410</t>
  </si>
  <si>
    <t>4X10 FIELD</t>
  </si>
  <si>
    <t>JOY LAVENDER 4X10</t>
  </si>
  <si>
    <t>JOYDG08-410</t>
  </si>
  <si>
    <t>JOY DARK GRAY 4X10</t>
  </si>
  <si>
    <t>JOYAB03-410</t>
  </si>
  <si>
    <t>JOY ATOLL BLUE 4X10</t>
  </si>
  <si>
    <t>JOYPG02-410</t>
  </si>
  <si>
    <t>JOY PEACOCK GREEN 4X10</t>
  </si>
  <si>
    <t>JOYVP05-410</t>
  </si>
  <si>
    <t>JOY VELVET PINK 4X10</t>
  </si>
  <si>
    <t>JOYWH17-410</t>
  </si>
  <si>
    <t>JOY WHITE 4X10</t>
  </si>
  <si>
    <t>JOYBG04-410</t>
  </si>
  <si>
    <t>JOY BURGUNDY 4X10</t>
  </si>
  <si>
    <t>JOYWH17-S4310</t>
  </si>
  <si>
    <t>JOY WHITE 3X10 SBN</t>
  </si>
  <si>
    <t>JOYLV28-S4310</t>
  </si>
  <si>
    <t>JOY LAVENDER 3X10 SBN</t>
  </si>
  <si>
    <t>JOYDG08-S4310</t>
  </si>
  <si>
    <t>JOY DARK GR 3X10 SBN</t>
  </si>
  <si>
    <t>JOYTG10-S4310</t>
  </si>
  <si>
    <t>JOY T. GRAY 3X10 SBN</t>
  </si>
  <si>
    <t>JOYVP05-S4310</t>
  </si>
  <si>
    <t>JOY VEL. PINK 3X10 SBN</t>
  </si>
  <si>
    <t>JOYBG04-S4310</t>
  </si>
  <si>
    <t>JOY BURGUNDY 3X10 SBN</t>
  </si>
  <si>
    <t>JOYPG02-S4310</t>
  </si>
  <si>
    <t>JOY P. GREEN 3X10 SBN</t>
  </si>
  <si>
    <t>JOYAB03-S4310</t>
  </si>
  <si>
    <t>JOY AT. BLUE 3X10 SBN</t>
  </si>
  <si>
    <t>JOYLV28-PN10</t>
  </si>
  <si>
    <t>3/4X10 PENCIL</t>
  </si>
  <si>
    <t>JOY LAVENDER 3/4X10 PEN</t>
  </si>
  <si>
    <t>JOYDG08-PN10</t>
  </si>
  <si>
    <t>JOY DARK GR 3/4X10 PEN</t>
  </si>
  <si>
    <t>JOYTG10-PN10</t>
  </si>
  <si>
    <t>JOY T. GRAY 3/4X10 PEN</t>
  </si>
  <si>
    <t>JOYVP05-PN10</t>
  </si>
  <si>
    <t>JOY VEL. PINK 3/4X10 PEN</t>
  </si>
  <si>
    <t>JOYBG04-PN10</t>
  </si>
  <si>
    <t>JOY BURGUNDY 3/4X10 PEN</t>
  </si>
  <si>
    <t>JOYPG02-PN10</t>
  </si>
  <si>
    <t>JOY P. GREEN 3/4X10 PEN</t>
  </si>
  <si>
    <t>JOYAB03-PN10</t>
  </si>
  <si>
    <t>JOY AT. BLUE 3/4X10 PEN</t>
  </si>
  <si>
    <r>
      <rPr>
        <b/>
        <sz val="24"/>
        <rFont val="Roca Light"/>
        <family val="3"/>
      </rPr>
      <t>JUNE</t>
    </r>
    <r>
      <rPr>
        <sz val="12"/>
        <rFont val="Roca Light"/>
        <family val="3"/>
      </rPr>
      <t xml:space="preserve"> - GLAZED PORCELAIN &amp; CERAMIC WALL</t>
    </r>
  </si>
  <si>
    <t>F1D0A60ZA1</t>
  </si>
  <si>
    <t>JUNE CALIZA 24"X24" R</t>
  </si>
  <si>
    <t>F1D0A60021</t>
  </si>
  <si>
    <t>JUNE GRIS 24"X24" R</t>
  </si>
  <si>
    <t>F1D7M60101</t>
  </si>
  <si>
    <t>JUNE GRAFITO 24"X24" R</t>
  </si>
  <si>
    <t>F1D0A54ZA1</t>
  </si>
  <si>
    <t>JUNE CALIZA 24"X48" R</t>
  </si>
  <si>
    <t>15.5</t>
  </si>
  <si>
    <t>F1DW054101</t>
  </si>
  <si>
    <t>JUNE GRAFITO 24"X48" R</t>
  </si>
  <si>
    <t>F1DA1AWZA1</t>
  </si>
  <si>
    <t>JUNE SUITE CALIZA 12"X36" R</t>
  </si>
  <si>
    <t>11.63</t>
  </si>
  <si>
    <t>F1DA1AW021</t>
  </si>
  <si>
    <t>JUNE SUITE GRIS 12"X36" R</t>
  </si>
  <si>
    <r>
      <rPr>
        <b/>
        <sz val="24"/>
        <rFont val="Roca Light"/>
        <family val="3"/>
      </rPr>
      <t>LAGOM</t>
    </r>
    <r>
      <rPr>
        <sz val="12"/>
        <rFont val="Roca Light"/>
        <family val="3"/>
      </rPr>
      <t xml:space="preserve"> - GLAZED PORCELAIN</t>
    </r>
  </si>
  <si>
    <t>F4FA14INT1</t>
  </si>
  <si>
    <t>10.5X64 FIELD</t>
  </si>
  <si>
    <t xml:space="preserve">LAGOM NATURAL 10.5x64R </t>
  </si>
  <si>
    <t>F4FA14I961</t>
  </si>
  <si>
    <t>LAGOM ALMOND 10.5x64R</t>
  </si>
  <si>
    <t>F4FA14I741</t>
  </si>
  <si>
    <t>LAGOM ROBLE 10.5x64R</t>
  </si>
  <si>
    <r>
      <rPr>
        <b/>
        <sz val="24"/>
        <rFont val="Roca Light"/>
        <family val="3"/>
      </rPr>
      <t>LASSA</t>
    </r>
    <r>
      <rPr>
        <sz val="12"/>
        <rFont val="Roca Light"/>
        <family val="3"/>
      </rPr>
      <t xml:space="preserve"> -    </t>
    </r>
    <r>
      <rPr>
        <sz val="12"/>
        <rFont val="Roca Light"/>
      </rPr>
      <t>GLAZED &amp; POLISHED PORCELAIN/CERAMIC WALL</t>
    </r>
  </si>
  <si>
    <t>FLWPPR5A31</t>
  </si>
  <si>
    <t>LASSA WHITE UP 12"X24"</t>
  </si>
  <si>
    <t>FLWPER5A31</t>
  </si>
  <si>
    <t>LASSA WHITE PO 12"x24" R</t>
  </si>
  <si>
    <t>FLWPPT3A31*</t>
  </si>
  <si>
    <t>LASSA WHITE UP 24"X48" R</t>
  </si>
  <si>
    <t>ULAWHGP2448R</t>
  </si>
  <si>
    <t>ULAWHPO2448R</t>
  </si>
  <si>
    <t>LASSA WHITE PO 24"x48" R</t>
  </si>
  <si>
    <t>FLWPPR8A31</t>
  </si>
  <si>
    <t>LASSA WHITE UP 13"X13" MOSAIC</t>
  </si>
  <si>
    <t>ULAWHGP13M</t>
  </si>
  <si>
    <t>LASSA WHITE UP 12X12 MOSAIC</t>
  </si>
  <si>
    <t>FLWPP64A31</t>
  </si>
  <si>
    <t>LASSA WHITE 3"X12" BULLNOSE</t>
  </si>
  <si>
    <t>FLWRVW2A31</t>
  </si>
  <si>
    <t>LASSA WHITE 6"X18" BRIGHT</t>
  </si>
  <si>
    <t>ULASSMG312V</t>
  </si>
  <si>
    <t>LASSA WHITE MG 3X12</t>
  </si>
  <si>
    <t>ULASSAMGBNV</t>
  </si>
  <si>
    <t>LASSA WHITE MG 3X12 IRREGULAR BN</t>
  </si>
  <si>
    <t>FLWRV04A31</t>
  </si>
  <si>
    <t>LASSA WHITE 6"X18" BULLNOSE</t>
  </si>
  <si>
    <r>
      <rPr>
        <b/>
        <sz val="24"/>
        <rFont val="Roca Light"/>
        <family val="3"/>
      </rPr>
      <t xml:space="preserve">LEGEND </t>
    </r>
    <r>
      <rPr>
        <sz val="12"/>
        <rFont val="Roca Light"/>
        <family val="3"/>
      </rPr>
      <t>- GLAZED &amp; POLISHED PORCELAIN</t>
    </r>
  </si>
  <si>
    <t>UFLG011-1224</t>
  </si>
  <si>
    <t>LEGEND BLANCO 12X24</t>
  </si>
  <si>
    <t>UFLG371-1224</t>
  </si>
  <si>
    <t>LEGEND ARENA 12X24</t>
  </si>
  <si>
    <t>UFLG101-1224</t>
  </si>
  <si>
    <t>LEGEND GRAPHITE 12X24</t>
  </si>
  <si>
    <t>UFLGPO100-1224</t>
  </si>
  <si>
    <t>LEGEND II BLANCO PO 12X24 R</t>
  </si>
  <si>
    <t>UFLGPO371-1224</t>
  </si>
  <si>
    <t>LEGEND II ARENA PO 12X24 R</t>
  </si>
  <si>
    <t>UFLG141-89H</t>
  </si>
  <si>
    <t>LEGEND VISON 8X9 HEXAGON</t>
  </si>
  <si>
    <t>UFLG011-S43C9</t>
  </si>
  <si>
    <t>LEGEND BLANCO 3X12 SBN</t>
  </si>
  <si>
    <t>UFLG371-S43C9</t>
  </si>
  <si>
    <t>LEGEND ARENA 3X12 SBN</t>
  </si>
  <si>
    <t>MOSAIC</t>
  </si>
  <si>
    <t>UFLG101-13M</t>
  </si>
  <si>
    <t>LEGEND GRAPHITE 13X13 MOSAIC</t>
  </si>
  <si>
    <t>UFLG141-13M</t>
  </si>
  <si>
    <t>LEGEND VISON 13X13 MOSAIC</t>
  </si>
  <si>
    <t>UFLG011-13M</t>
  </si>
  <si>
    <t>LEGEND BLANCO 13X13 MOSAIC</t>
  </si>
  <si>
    <t>UFLG371-13M</t>
  </si>
  <si>
    <t>LEGEND ARENA 13X13 MOSAIC</t>
  </si>
  <si>
    <r>
      <rPr>
        <b/>
        <sz val="24"/>
        <color rgb="FF000000"/>
        <rFont val="Roca Light"/>
      </rPr>
      <t xml:space="preserve">LIMESTONE    </t>
    </r>
    <r>
      <rPr>
        <sz val="12"/>
        <color rgb="FF000000"/>
        <rFont val="Roca Light"/>
      </rPr>
      <t>- GLAZED PORCELAIN</t>
    </r>
  </si>
  <si>
    <t>FDB0A57011</t>
  </si>
  <si>
    <t>LIMESTONE BLANCO 12"x24" R</t>
  </si>
  <si>
    <t>FDB0B57371</t>
  </si>
  <si>
    <t>LIMESTONE ARENA 12"x24" R</t>
  </si>
  <si>
    <r>
      <rPr>
        <b/>
        <sz val="24"/>
        <rFont val="Roca Light"/>
        <family val="3"/>
      </rPr>
      <t xml:space="preserve">LITHOLOGY EDITION     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GLAZED PORCELAIN</t>
    </r>
  </si>
  <si>
    <t>UPOLARI16BV</t>
  </si>
  <si>
    <t>12X24 POLARIS FD WHITE</t>
  </si>
  <si>
    <t>UIBIZAF16BV</t>
  </si>
  <si>
    <t>12X24 IBIZA FD WHITE</t>
  </si>
  <si>
    <t>UASTOFD16BI</t>
  </si>
  <si>
    <t>12X24 ASTORIA FD GREY</t>
  </si>
  <si>
    <t>USANDST16BE</t>
  </si>
  <si>
    <t>12X24 SANDSTONE FD BEIGE</t>
  </si>
  <si>
    <t>USANDST16BV</t>
  </si>
  <si>
    <t>12X24 SANDSTONE FD WHITE</t>
  </si>
  <si>
    <t>UVESTAF16BE</t>
  </si>
  <si>
    <t>12X24 VESTA FD SAND</t>
  </si>
  <si>
    <t>UVESTAF16BG</t>
  </si>
  <si>
    <t>12X24 VESTA FD TAUPE</t>
  </si>
  <si>
    <t>UVESTAF16BI</t>
  </si>
  <si>
    <t>12X24 VESTA FD SILVER</t>
  </si>
  <si>
    <t>UVESTAF16BV</t>
  </si>
  <si>
    <t>12X24 VESTA FD WHITE</t>
  </si>
  <si>
    <t>UMOSCAT16BU</t>
  </si>
  <si>
    <t>12X24 MOSCATO FD SAND</t>
  </si>
  <si>
    <t>UBASALT16BI</t>
  </si>
  <si>
    <t>12X24 BASALT FD GREY</t>
  </si>
  <si>
    <t>UBASALT16BU</t>
  </si>
  <si>
    <t>12X24 BASALT FD WHITE</t>
  </si>
  <si>
    <t>UBASALT16BW</t>
  </si>
  <si>
    <t>12X24 BASALT FD GRAPHITE</t>
  </si>
  <si>
    <t>UEMPIRP16BE</t>
  </si>
  <si>
    <t>12X24 EMPIRE FD BEIGE</t>
  </si>
  <si>
    <t>URBANFD16BE</t>
  </si>
  <si>
    <t>12X24 URBAN FD ANTRACITA</t>
  </si>
  <si>
    <t>UIBIZMG312V</t>
  </si>
  <si>
    <t>IBIZA WHITE MG 3X12</t>
  </si>
  <si>
    <t>UIBIZAMGBNV</t>
  </si>
  <si>
    <t>IBIZA WHITE MG 3X12 BN</t>
  </si>
  <si>
    <r>
      <rPr>
        <b/>
        <sz val="24"/>
        <rFont val="Roca Light"/>
        <family val="3"/>
      </rPr>
      <t>LIVERPOOL</t>
    </r>
    <r>
      <rPr>
        <sz val="22"/>
        <rFont val="Roca Light"/>
        <family val="3"/>
      </rPr>
      <t xml:space="preserve">     </t>
    </r>
    <r>
      <rPr>
        <sz val="12"/>
        <rFont val="Roca Light"/>
        <family val="3"/>
      </rPr>
      <t>- GLAZED &amp; POLISHED PORCELAIN</t>
    </r>
  </si>
  <si>
    <t>I9606020</t>
  </si>
  <si>
    <t>LIVERPOOL GRAFITO UP 12X24 R</t>
  </si>
  <si>
    <t>I9608016</t>
  </si>
  <si>
    <t>LIVERPOOL GRIS PO 12X24 R</t>
  </si>
  <si>
    <t>I9609010</t>
  </si>
  <si>
    <t>LIVERPOOL CINZA PO 12X24 R</t>
  </si>
  <si>
    <t>I9606014</t>
  </si>
  <si>
    <t>LIVERPOOL GRAFITO PO 12X24 R</t>
  </si>
  <si>
    <t>I9608020</t>
  </si>
  <si>
    <t>LIVERPOOL GRIS UP 24X24 R</t>
  </si>
  <si>
    <t>I9606018</t>
  </si>
  <si>
    <t>LIVERPOOL GRAFITO UP 24X24 R</t>
  </si>
  <si>
    <t>I9607013</t>
  </si>
  <si>
    <t>LIVERPOOL GRIS PO 24X24 R</t>
  </si>
  <si>
    <t>I9606012</t>
  </si>
  <si>
    <t>LIVERPOOL GRAFITO PO 24X24 R</t>
  </si>
  <si>
    <t>I9609011*</t>
  </si>
  <si>
    <t>LIVERPOOL CINZA UP 24X48 R</t>
  </si>
  <si>
    <t>I9609002*</t>
  </si>
  <si>
    <t>LIVERPOOL CINZA PO 24X48 R</t>
  </si>
  <si>
    <t>ULIVBPO2448R</t>
  </si>
  <si>
    <t>LIVERPOOL BLANCO PO 24X48 R</t>
  </si>
  <si>
    <r>
      <rPr>
        <b/>
        <sz val="24"/>
        <rFont val="Roca Light"/>
        <family val="3"/>
      </rPr>
      <t xml:space="preserve">MAGNOLIA  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CERAMIC WALL</t>
    </r>
  </si>
  <si>
    <t>UWMAG100-618</t>
  </si>
  <si>
    <t>MAGNOLIA BLANCO 6X18</t>
  </si>
  <si>
    <t>UWMAG101-618</t>
  </si>
  <si>
    <t>MAGNOLIA ARENA 6X18</t>
  </si>
  <si>
    <t>UWMAG102-618</t>
  </si>
  <si>
    <t>MAGNOLIA GRIS 6X18</t>
  </si>
  <si>
    <t>UWMAG103-618</t>
  </si>
  <si>
    <t>MAGNOLIA VISON 6X18</t>
  </si>
  <si>
    <t>UWMAG100-S4618</t>
  </si>
  <si>
    <t>MAGNOLIA BLANCO 6X18 SBN</t>
  </si>
  <si>
    <t>UWMAG101-S4618</t>
  </si>
  <si>
    <t>MAGNOLIA ARENA 6X18 SBN</t>
  </si>
  <si>
    <t>UWMAG102-S4618</t>
  </si>
  <si>
    <t>MAGNOLIA GRIS 6X18 SBN</t>
  </si>
  <si>
    <t>UWMAG103-S4618</t>
  </si>
  <si>
    <t>MAGNOLIA VISON 6X18 SBN</t>
  </si>
  <si>
    <r>
      <rPr>
        <b/>
        <sz val="24"/>
        <color rgb="FF000000"/>
        <rFont val="Roca Light"/>
        <family val="3"/>
      </rPr>
      <t>MAIOLICA</t>
    </r>
    <r>
      <rPr>
        <sz val="22"/>
        <color rgb="FF000000"/>
        <rFont val="Roca Light"/>
        <family val="3"/>
      </rPr>
      <t xml:space="preserve">      </t>
    </r>
    <r>
      <rPr>
        <sz val="12"/>
        <color rgb="FF000000"/>
        <rFont val="Roca Light"/>
        <family val="3"/>
      </rPr>
      <t>- CERAMIC WALL</t>
    </r>
  </si>
  <si>
    <t>MAIW081-36</t>
  </si>
  <si>
    <t>MAIOLICA BRIGHT WHITE 3X6</t>
  </si>
  <si>
    <t>MAIW074-36</t>
  </si>
  <si>
    <t>MAIOLICA BRIGHT BISCUIT 3X6</t>
  </si>
  <si>
    <t>MAIW761-36</t>
  </si>
  <si>
    <t>MAIOLICA BRIGHT TENDER GRAY 3X6</t>
  </si>
  <si>
    <t>MAIW641-36</t>
  </si>
  <si>
    <t>MAIOLICA BLUE STEEL 3X6</t>
  </si>
  <si>
    <t>MAIW628-36</t>
  </si>
  <si>
    <t>MAIOLICA BRIGHT AQUA 3X6</t>
  </si>
  <si>
    <t>MAIW789-36</t>
  </si>
  <si>
    <t>MAIOLICA BRIGHT TAUPE 3X6</t>
  </si>
  <si>
    <t>MAIW081-410</t>
  </si>
  <si>
    <t>MAIOLICA BRIGHT WHITE 4X10</t>
  </si>
  <si>
    <t>MAIW074-410</t>
  </si>
  <si>
    <t>MAIOLICA BRIGHT BISCUIT 4X10</t>
  </si>
  <si>
    <t>MAIW761-410</t>
  </si>
  <si>
    <t>MAIOLICA BRIGHT TENDER GRAY 4X10</t>
  </si>
  <si>
    <t>MAIW628-410</t>
  </si>
  <si>
    <t>MAIOLICA BRIGHT AQUA 4X10</t>
  </si>
  <si>
    <t>MAIW789-410</t>
  </si>
  <si>
    <t>MAIOLICA BRIGHT TAUPE 4X10</t>
  </si>
  <si>
    <t>MAIW641-410</t>
  </si>
  <si>
    <t>MAIOLICA BRIGHT BLUE STEEL 4X10</t>
  </si>
  <si>
    <t>MAIW261-410</t>
  </si>
  <si>
    <t>MAIOLICA MATTE TENDER GRAY 4X10</t>
  </si>
  <si>
    <t>MAIW241-410</t>
  </si>
  <si>
    <t>MAIOLICA MATTE BLUE STEEL 4X10</t>
  </si>
  <si>
    <r>
      <rPr>
        <b/>
        <sz val="24"/>
        <rFont val="Roca Light"/>
        <family val="3"/>
      </rPr>
      <t>MAIOLICA</t>
    </r>
    <r>
      <rPr>
        <sz val="22"/>
        <rFont val="Roca Light"/>
        <family val="3"/>
      </rPr>
      <t xml:space="preserve">     </t>
    </r>
    <r>
      <rPr>
        <sz val="12"/>
        <rFont val="Roca Light"/>
        <family val="3"/>
      </rPr>
      <t>- CERAMIC WALL</t>
    </r>
  </si>
  <si>
    <t>BRIW081-312</t>
  </si>
  <si>
    <t>MAIOLICA CRACKLED 3”X12” White</t>
  </si>
  <si>
    <t>BRIW628-312</t>
  </si>
  <si>
    <t>MAIOLICA CRACKLED 3”X12” Aqua</t>
  </si>
  <si>
    <t>BRIW761-312</t>
  </si>
  <si>
    <t>MAIOLICA CRACKLED 3”X12” Tender Gray</t>
  </si>
  <si>
    <t>BRIW074-312</t>
  </si>
  <si>
    <t>MAIOLICA CRACKLED 3”X12” Biscuit</t>
  </si>
  <si>
    <t>BRIW789-312</t>
  </si>
  <si>
    <t>MAIOLICA CRACKLED 3”X12” Taupe</t>
  </si>
  <si>
    <t>BRIW641-312</t>
  </si>
  <si>
    <t>MAIOLICA CRACKLED 3”X12” Blue Steel</t>
  </si>
  <si>
    <t>UMAICWBN312</t>
  </si>
  <si>
    <t>MAIOLICA CRACKLED 3X12 White BN</t>
  </si>
  <si>
    <t>UMAICABN312</t>
  </si>
  <si>
    <t>MAIOLICA CRACKLED 3X12 Aqua BN</t>
  </si>
  <si>
    <t>UMAICGBN312</t>
  </si>
  <si>
    <t>MAIOLICA CRACKLED 3X12 Tender Gray BN</t>
  </si>
  <si>
    <t>UMAICBBN312</t>
  </si>
  <si>
    <t>MAIOLICA CRACKLED 3X12 Biscuit BN</t>
  </si>
  <si>
    <t>UMAICTBN312</t>
  </si>
  <si>
    <t>MAIOLICA CRACKLED 3X12 Taupe BN</t>
  </si>
  <si>
    <t>UMAICSBN312</t>
  </si>
  <si>
    <t>MAIOLICA CRACKLED 3X12 Blue Steel BN</t>
  </si>
  <si>
    <r>
      <rPr>
        <b/>
        <sz val="24"/>
        <rFont val="Roca Light"/>
        <family val="3"/>
      </rPr>
      <t xml:space="preserve">MAIOLICA  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 CERAMIC WALL</t>
    </r>
  </si>
  <si>
    <t>MAIW074-78H</t>
  </si>
  <si>
    <t>7X8 HEXAGON</t>
  </si>
  <si>
    <t>MAIOLICA HEXAGON 7”X8” Biscuit</t>
  </si>
  <si>
    <t>MAIW789-78H</t>
  </si>
  <si>
    <t>MAIOLICA HEXAGON 7”X8” Taupe</t>
  </si>
  <si>
    <t>MAIT081-PN10</t>
  </si>
  <si>
    <t>1/2 X10 PENCIL</t>
  </si>
  <si>
    <t>MAIOLICA WHITE  1/2 X10 PENCIL</t>
  </si>
  <si>
    <t>MAIT074-PN10</t>
  </si>
  <si>
    <t>MAIOLICA BISCUIT  1/2 X10 PENCIL</t>
  </si>
  <si>
    <t>MAIT761-PN10</t>
  </si>
  <si>
    <t>MAIOLICA T.GRAY  1/2 X10 PENCIL</t>
  </si>
  <si>
    <t>MAIT628-PN10</t>
  </si>
  <si>
    <t>MAIOLICA AQUA  1/2 X10 PENCIL</t>
  </si>
  <si>
    <t>MAIW081-S4369</t>
  </si>
  <si>
    <t>3X6" BULLNOSE</t>
  </si>
  <si>
    <t>MAIOLICA WHITE 3X6" SBN</t>
  </si>
  <si>
    <t>MAIW074-S4369</t>
  </si>
  <si>
    <t>MAIOLICA BISCUIT 3X6" SBN</t>
  </si>
  <si>
    <t>MAIW761-S4369</t>
  </si>
  <si>
    <t>MAIOLICA TENDER GRAY 3X6" SBN</t>
  </si>
  <si>
    <t>MAIW628-S4369</t>
  </si>
  <si>
    <t>MAIOLICA AQUA 3X6" SBN</t>
  </si>
  <si>
    <t>MAIW789-S4369</t>
  </si>
  <si>
    <t>MAIOLICA TAUPE 3X6" SBN</t>
  </si>
  <si>
    <t>MAIW641-S4369</t>
  </si>
  <si>
    <t>MAIOLICA BLUE STEEL 3X6" SBN</t>
  </si>
  <si>
    <t>MAIT081-S4103</t>
  </si>
  <si>
    <t>3X10" BULLNOSE</t>
  </si>
  <si>
    <t>MAIOLICA WHITE 3X10" SBN</t>
  </si>
  <si>
    <t>MAIT074-S4103</t>
  </si>
  <si>
    <t>MAIOLICA BISCUIT 3X10" SBN</t>
  </si>
  <si>
    <t>MAIT761-S4103</t>
  </si>
  <si>
    <t>MAIOLICA T.GRAY 3X10" SBN</t>
  </si>
  <si>
    <t>MAIT628-S4103</t>
  </si>
  <si>
    <t>MAIOLICA AQUA 3X10" SBN</t>
  </si>
  <si>
    <t>MAITW789-S4103</t>
  </si>
  <si>
    <t>MAIOLICA TAUPE 3X10" SBN</t>
  </si>
  <si>
    <t>MAITW641-S4103</t>
  </si>
  <si>
    <t>MAIOLICA BLUE STEEL 3X10" SBN</t>
  </si>
  <si>
    <t>MAIW261-S4103</t>
  </si>
  <si>
    <t>MAIOLICA T.GRAY MT  3X10" SBN</t>
  </si>
  <si>
    <t>MAIW228-S4103</t>
  </si>
  <si>
    <t>MAIOLICA AQUA MT  3X10" SBN</t>
  </si>
  <si>
    <t>MAIW289-S4103</t>
  </si>
  <si>
    <t>MAIOLICA TAUPE MT  3X10" SBN</t>
  </si>
  <si>
    <r>
      <rPr>
        <b/>
        <sz val="24"/>
        <rFont val="Roca Light"/>
        <family val="3"/>
      </rPr>
      <t xml:space="preserve">MAIOLICA FLOOR   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GRES STONEWARE</t>
    </r>
  </si>
  <si>
    <t>MAIDF295-88</t>
  </si>
  <si>
    <t>MAIOLICA PATTERN COTO 8X8</t>
  </si>
  <si>
    <r>
      <t xml:space="preserve">MARBLE DOLOMITA   </t>
    </r>
    <r>
      <rPr>
        <sz val="11"/>
        <rFont val="Roca Light"/>
      </rPr>
      <t>- GLAZED PORCELAIN/CERAMIC WALL</t>
    </r>
  </si>
  <si>
    <t>F7I0A57011</t>
  </si>
  <si>
    <t>MARBLE DOLOMITA WHITE 12X24R</t>
  </si>
  <si>
    <t>F7IB1MV011</t>
  </si>
  <si>
    <t>SUITE MARBLE DOLOMITA WHITE 12X24R</t>
  </si>
  <si>
    <t>F7I0A54011</t>
  </si>
  <si>
    <t>MARBLE DOLOMITA WHITE 24x48R</t>
  </si>
  <si>
    <r>
      <rPr>
        <b/>
        <sz val="24"/>
        <color rgb="FF000000"/>
        <rFont val="Roca Light"/>
        <family val="3"/>
      </rPr>
      <t xml:space="preserve">MARBLE PLATINUM    </t>
    </r>
    <r>
      <rPr>
        <sz val="22"/>
        <color rgb="FF000000"/>
        <rFont val="Roca Light"/>
        <family val="3"/>
      </rPr>
      <t xml:space="preserve"> </t>
    </r>
    <r>
      <rPr>
        <sz val="12"/>
        <color rgb="FF000000"/>
        <rFont val="Roca Light"/>
        <family val="3"/>
      </rPr>
      <t>- GLAZED PORCELAIN</t>
    </r>
  </si>
  <si>
    <t>FCI7M54PE1</t>
  </si>
  <si>
    <t>MARBLE PLATINUM PERLA 24"X48" R</t>
  </si>
  <si>
    <t>23.25</t>
  </si>
  <si>
    <t>78.95</t>
  </si>
  <si>
    <r>
      <t xml:space="preserve">MARBLE LINCOLN     </t>
    </r>
    <r>
      <rPr>
        <sz val="11"/>
        <rFont val="Roca Light"/>
      </rPr>
      <t xml:space="preserve"> - GLAZED PORCELAIN/CERAMIC WALL</t>
    </r>
  </si>
  <si>
    <t>F92B1MV011</t>
  </si>
  <si>
    <t>MARBLE LINCOLN WHITE SUITE  12"X24" R</t>
  </si>
  <si>
    <t>FLOOR / NEW</t>
  </si>
  <si>
    <t>F920B57011</t>
  </si>
  <si>
    <t>MARBLE LINCOLN WHITE 12"X24" R</t>
  </si>
  <si>
    <t>F920A54011</t>
  </si>
  <si>
    <t>MARBLE LINCOLN WHITE 24"X48" R</t>
  </si>
  <si>
    <r>
      <t xml:space="preserve">MAYNE      </t>
    </r>
    <r>
      <rPr>
        <sz val="11"/>
        <rFont val="Roca Light"/>
        <family val="3"/>
      </rPr>
      <t>- GLAZED PORCELAIN</t>
    </r>
  </si>
  <si>
    <t>UMAYNFD1LCF</t>
  </si>
  <si>
    <t>MAYNE NATURAL 8"X48" R</t>
  </si>
  <si>
    <t>UMAYNFN1LCF</t>
  </si>
  <si>
    <r>
      <rPr>
        <b/>
        <sz val="24"/>
        <rFont val="Roca Light"/>
        <family val="3"/>
      </rPr>
      <t>METALS</t>
    </r>
    <r>
      <rPr>
        <sz val="22"/>
        <rFont val="Roca Light"/>
        <family val="3"/>
      </rPr>
      <t xml:space="preserve">      </t>
    </r>
    <r>
      <rPr>
        <sz val="12"/>
        <rFont val="Roca Light"/>
        <family val="3"/>
      </rPr>
      <t>- BRUSHED ALUMINUM MOSAICS</t>
    </r>
  </si>
  <si>
    <t>FWMSLPY-12M</t>
  </si>
  <si>
    <t>SILVER BRUSHED PENNY MOS 12X12</t>
  </si>
  <si>
    <t>FWMRGBR-12M</t>
  </si>
  <si>
    <t>ROSE GOLD BRU. BRICK MOS 12X12</t>
  </si>
  <si>
    <r>
      <rPr>
        <b/>
        <sz val="24"/>
        <rFont val="Roca Light"/>
        <family val="3"/>
      </rPr>
      <t>NOLITA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COLOR BODY PORCELAIN</t>
    </r>
  </si>
  <si>
    <t>AFNOL001-S43C9</t>
  </si>
  <si>
    <t>NOLITA BLANCO 3X12 SBN</t>
  </si>
  <si>
    <t>AFNOL002-S43C9</t>
  </si>
  <si>
    <t>NOLITA GRIS 3X12 SBN</t>
  </si>
  <si>
    <t>AFNOL003-S43C9</t>
  </si>
  <si>
    <t>NOLITA GRAFITO 3X12 SBN</t>
  </si>
  <si>
    <t>AFNOL004-S43C9</t>
  </si>
  <si>
    <t>NOLITA ANTRACITA 3X12 SBN</t>
  </si>
  <si>
    <t xml:space="preserve">AFNOL001-12M </t>
  </si>
  <si>
    <t>NOLITA BLANCO 12X12 MOSAIC</t>
  </si>
  <si>
    <t xml:space="preserve">AFNOL002-12M </t>
  </si>
  <si>
    <t>NOLITA GRIS 12X12 MOSAIC</t>
  </si>
  <si>
    <t xml:space="preserve">AFNOL003-12M </t>
  </si>
  <si>
    <t>NOLITA GRAFITO 12X12 MOSAIC</t>
  </si>
  <si>
    <t xml:space="preserve">AFNOL004-12M </t>
  </si>
  <si>
    <t xml:space="preserve">NOLITA ANTRACITA 12X12 MOSAIC </t>
  </si>
  <si>
    <t>F0J0A57011</t>
  </si>
  <si>
    <t xml:space="preserve">NOLITA BLANCO 12X24R   </t>
  </si>
  <si>
    <t>F0J0A57021</t>
  </si>
  <si>
    <t xml:space="preserve">NOLITA GRIS 12X24R     </t>
  </si>
  <si>
    <t>F0J0A57101</t>
  </si>
  <si>
    <t xml:space="preserve">NOLITA GRAFITO 12X24R  </t>
  </si>
  <si>
    <t>F0J0A57311</t>
  </si>
  <si>
    <t>NOLITA ANTRACITA 12X24R</t>
  </si>
  <si>
    <t>F0J0A54011</t>
  </si>
  <si>
    <t xml:space="preserve">NOLITA BLANCO 24X48R   </t>
  </si>
  <si>
    <t>F0J0A54021</t>
  </si>
  <si>
    <t xml:space="preserve">NOLITA GRIS 24X48R     </t>
  </si>
  <si>
    <t>F0J0A54101</t>
  </si>
  <si>
    <t xml:space="preserve">NOLITA GRAFITO 24X48R  </t>
  </si>
  <si>
    <t>F0J0A54311</t>
  </si>
  <si>
    <t>NOLITA ANTRACITA 24X48R</t>
  </si>
  <si>
    <r>
      <rPr>
        <b/>
        <sz val="24"/>
        <rFont val="Roca Light"/>
        <family val="3"/>
      </rPr>
      <t>NORDICO</t>
    </r>
    <r>
      <rPr>
        <sz val="22"/>
        <rFont val="Roca Light"/>
        <family val="3"/>
      </rPr>
      <t xml:space="preserve">   </t>
    </r>
    <r>
      <rPr>
        <sz val="12"/>
        <rFont val="Roca Light"/>
        <family val="3"/>
      </rPr>
      <t>- GLAZED &amp; POLISHED PORCELAIN</t>
    </r>
  </si>
  <si>
    <t>I66220068A</t>
  </si>
  <si>
    <t>NORDICO SNOW 12X24 UP</t>
  </si>
  <si>
    <t>66220070A</t>
  </si>
  <si>
    <t>NORDICO PO 12X24 R</t>
  </si>
  <si>
    <t>INC08DA0001A</t>
  </si>
  <si>
    <t>NORDICO SNOW 24X24 R UP</t>
  </si>
  <si>
    <t>INC06DA0001A</t>
  </si>
  <si>
    <t>NORDICO SNOW 24X24 R PO</t>
  </si>
  <si>
    <t>INC06CZ0008A</t>
  </si>
  <si>
    <t>NORDICO SNOW 35X35 R PO</t>
  </si>
  <si>
    <t>I66220080A</t>
  </si>
  <si>
    <t>NORDICO 3X12 UP SBN</t>
  </si>
  <si>
    <t>I66220072A</t>
  </si>
  <si>
    <t>NORDICO 13X13 MOSAIC</t>
  </si>
  <si>
    <r>
      <t xml:space="preserve">NORTHWOOD   </t>
    </r>
    <r>
      <rPr>
        <sz val="11"/>
        <color rgb="FF000000"/>
        <rFont val="Roca Light"/>
        <family val="3"/>
      </rPr>
      <t>- GLAZED CERAMIC</t>
    </r>
  </si>
  <si>
    <t>UNORTHW15HE</t>
  </si>
  <si>
    <t>7X22 FIELD</t>
  </si>
  <si>
    <t>NORTHWOOD BEIGE 7x22</t>
  </si>
  <si>
    <t>UNORTHW15HI</t>
  </si>
  <si>
    <t>NORTHWOOD GRAY 7x22</t>
  </si>
  <si>
    <t>UNORTHW15HV</t>
  </si>
  <si>
    <t>NORTHWOOD WHITE 7X22</t>
  </si>
  <si>
    <r>
      <rPr>
        <b/>
        <sz val="22"/>
        <color rgb="FF000000"/>
        <rFont val="Roca Light"/>
        <family val="3"/>
      </rPr>
      <t xml:space="preserve">OLD FASHIONED   </t>
    </r>
    <r>
      <rPr>
        <sz val="11"/>
        <color rgb="FF000000"/>
        <rFont val="Roca Light"/>
        <family val="3"/>
      </rPr>
      <t>- COLOR BODY PORCELAIN</t>
    </r>
  </si>
  <si>
    <t>UOLDFAS1LCV</t>
  </si>
  <si>
    <t>OLD FASHIONED RYE 8"X48" R</t>
  </si>
  <si>
    <r>
      <t xml:space="preserve">ONICE SUPREME   </t>
    </r>
    <r>
      <rPr>
        <sz val="11"/>
        <color rgb="FF000000"/>
        <rFont val="Roca Light"/>
        <family val="3"/>
      </rPr>
      <t>- GLAZED PORCELAIN</t>
    </r>
  </si>
  <si>
    <t>F4T0A57301</t>
  </si>
  <si>
    <t>12X24R MARBLE ONICE SUPREME MARFIL</t>
  </si>
  <si>
    <t>F4T6A54301</t>
  </si>
  <si>
    <t>24x48R MARBLE ONICE SUPREME MARFIL</t>
  </si>
  <si>
    <r>
      <t xml:space="preserve">ONYX     </t>
    </r>
    <r>
      <rPr>
        <sz val="11"/>
        <rFont val="Roca Light"/>
        <family val="3"/>
      </rPr>
      <t>- GLAZED &amp; POLISHED PORCELAIN</t>
    </r>
  </si>
  <si>
    <t>UONYXUP16HV</t>
  </si>
  <si>
    <t>ONYX WHITE 12"X24" R UP</t>
  </si>
  <si>
    <t>UONYXPO16HV</t>
  </si>
  <si>
    <t>ONYX WHITE 12"X24" R PO</t>
  </si>
  <si>
    <t>UONYXPO1LBV</t>
  </si>
  <si>
    <t>ONYX WHITE 24"X48" R PO</t>
  </si>
  <si>
    <t>PANAMA</t>
  </si>
  <si>
    <t>FNVA1EF741</t>
  </si>
  <si>
    <t>SUITE PANAMA ROBLE 12X36 R</t>
  </si>
  <si>
    <t>FNV0H6O741</t>
  </si>
  <si>
    <t>PANAMA ROBLE 8X48 R</t>
  </si>
  <si>
    <r>
      <rPr>
        <b/>
        <sz val="24"/>
        <color rgb="FF000000"/>
        <rFont val="Roca Light"/>
        <family val="3"/>
      </rPr>
      <t xml:space="preserve">PAVERS  </t>
    </r>
    <r>
      <rPr>
        <sz val="22"/>
        <color rgb="FF000000"/>
        <rFont val="Roca Light"/>
        <family val="3"/>
      </rPr>
      <t xml:space="preserve"> </t>
    </r>
    <r>
      <rPr>
        <sz val="12"/>
        <color rgb="FF000000"/>
        <rFont val="Roca Light"/>
        <family val="3"/>
      </rPr>
      <t>- FULL BODY PORCELAIN STONEWARE</t>
    </r>
  </si>
  <si>
    <t>FRBE060311</t>
  </si>
  <si>
    <t>24X24 PAVER</t>
  </si>
  <si>
    <t>CORTONA ANTRACITA 24X24 R</t>
  </si>
  <si>
    <t>FRBE060021</t>
  </si>
  <si>
    <t>CORTONA GRIS 24X24 R</t>
  </si>
  <si>
    <t>FR4E060021</t>
  </si>
  <si>
    <t>PIAMONTE GRIS 24X24 R</t>
  </si>
  <si>
    <t>FR5E060371</t>
  </si>
  <si>
    <t>TOSCANA ARENA 24X24 R</t>
  </si>
  <si>
    <t>24X36 PAVER</t>
  </si>
  <si>
    <t>AVALON BLANCO 24X36 R 20MM</t>
  </si>
  <si>
    <t>AVALON ARENA 24X36 R 20MM</t>
  </si>
  <si>
    <t>F5B237UBO1</t>
  </si>
  <si>
    <t>24X36 R 20MM SERENA CROSSCUT BONE</t>
  </si>
  <si>
    <t>F5B237UMO1</t>
  </si>
  <si>
    <t>24X36 R 20MM SERENA CROSSCUT MOKA</t>
  </si>
  <si>
    <r>
      <rPr>
        <b/>
        <sz val="24"/>
        <rFont val="Roca Light"/>
        <family val="3"/>
      </rPr>
      <t xml:space="preserve">PIASENTINA      </t>
    </r>
    <r>
      <rPr>
        <sz val="12"/>
        <rFont val="Roca Light"/>
        <family val="3"/>
      </rPr>
      <t>- GLAZED &amp; POLISHED PORCELAIN</t>
    </r>
  </si>
  <si>
    <t>UFPIASM-1224PO</t>
  </si>
  <si>
    <t>PIASENTINA SMOKE PO 12X24 R</t>
  </si>
  <si>
    <t>UFPIASL-1224</t>
  </si>
  <si>
    <t>PIASENTINA SILVER UP 12X24 R</t>
  </si>
  <si>
    <t>UFPIASL-13M</t>
  </si>
  <si>
    <t>PIASENTINA SILVER 13X13 MOSAIC</t>
  </si>
  <si>
    <t>UFPIASM-13M</t>
  </si>
  <si>
    <t>PIASENTINA SMOKE 13X13 MOSAIC</t>
  </si>
  <si>
    <r>
      <rPr>
        <b/>
        <sz val="22"/>
        <color rgb="FF000000"/>
        <rFont val="Roca Light"/>
        <family val="3"/>
      </rPr>
      <t xml:space="preserve">PIGMENT     </t>
    </r>
    <r>
      <rPr>
        <sz val="12"/>
        <color rgb="FF000000"/>
        <rFont val="Roca Light"/>
        <family val="3"/>
      </rPr>
      <t>- GLAZED PORCELAIN</t>
    </r>
  </si>
  <si>
    <t>FLL7ANF991</t>
  </si>
  <si>
    <t>PIGMENT MULTICOLOR 35"X35" R</t>
  </si>
  <si>
    <r>
      <rPr>
        <b/>
        <sz val="24"/>
        <color rgb="FF000000"/>
        <rFont val="Roca Light"/>
        <family val="3"/>
      </rPr>
      <t xml:space="preserve">PINE  </t>
    </r>
    <r>
      <rPr>
        <sz val="22"/>
        <color rgb="FF000000"/>
        <rFont val="Roca Light"/>
        <family val="3"/>
      </rPr>
      <t xml:space="preserve"> </t>
    </r>
    <r>
      <rPr>
        <sz val="12"/>
        <color rgb="FF000000"/>
        <rFont val="Roca Light"/>
        <family val="3"/>
      </rPr>
      <t>- GLAZED PORCELAIN</t>
    </r>
  </si>
  <si>
    <t>ROC087900041</t>
  </si>
  <si>
    <t>PINE NATURAL 8X35</t>
  </si>
  <si>
    <t>ROC087900051</t>
  </si>
  <si>
    <t>PINE NOGAL 8X35</t>
  </si>
  <si>
    <t>ROC087900061</t>
  </si>
  <si>
    <t>PINE SILVER 8X35</t>
  </si>
  <si>
    <t>ROC087900071</t>
  </si>
  <si>
    <t>PINE WENGE 8X35</t>
  </si>
  <si>
    <r>
      <rPr>
        <b/>
        <sz val="24"/>
        <rFont val="Roca Light"/>
        <family val="3"/>
      </rPr>
      <t xml:space="preserve">PORT NOIR 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GLAZED PORCELAIN</t>
    </r>
  </si>
  <si>
    <t>9mm</t>
  </si>
  <si>
    <t>F1K0A57161</t>
  </si>
  <si>
    <t>PORT NOIR BLACK 12X24R</t>
  </si>
  <si>
    <t>6mm</t>
  </si>
  <si>
    <t>F1K6A54161</t>
  </si>
  <si>
    <t>PORT NOIR BLACK 24X48R</t>
  </si>
  <si>
    <t>F1K0A54161</t>
  </si>
  <si>
    <r>
      <rPr>
        <b/>
        <sz val="24"/>
        <rFont val="Roca Light"/>
        <family val="3"/>
      </rPr>
      <t xml:space="preserve">POSITANO  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GLAZED  PORCELAIN</t>
    </r>
  </si>
  <si>
    <t>UFPS100-21</t>
  </si>
  <si>
    <t>POSITANO BLANCO 21X21</t>
  </si>
  <si>
    <t>UFPS102-21</t>
  </si>
  <si>
    <t>POSITANO II GRIS 21X21</t>
  </si>
  <si>
    <t>UFPS101-21</t>
  </si>
  <si>
    <t>POSITANO BEIGE 21X21</t>
  </si>
  <si>
    <t>UFPS100-1224</t>
  </si>
  <si>
    <t>POSITANO BLANCO 12X24</t>
  </si>
  <si>
    <r>
      <rPr>
        <b/>
        <sz val="24"/>
        <rFont val="Roca Light"/>
        <family val="3"/>
      </rPr>
      <t>PRO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GLAZED &amp; POLISHED PORCELAIN</t>
    </r>
  </si>
  <si>
    <t>I96070124A</t>
  </si>
  <si>
    <t>PRO NUDE UP 12X24R</t>
  </si>
  <si>
    <t>I96070126A</t>
  </si>
  <si>
    <t>PRO SAND UP 12X24R</t>
  </si>
  <si>
    <t>I96070122A</t>
  </si>
  <si>
    <t>PRO IVORY UP 12X24R</t>
  </si>
  <si>
    <t>I96070118A</t>
  </si>
  <si>
    <t>PRO CEMENT UP 12X24R</t>
  </si>
  <si>
    <t>I96070120A</t>
  </si>
  <si>
    <t>PRO CONCRETE UP 12X24R</t>
  </si>
  <si>
    <t>I96070324A</t>
  </si>
  <si>
    <t>PRO NUDE PO 12X24 R</t>
  </si>
  <si>
    <t>I96070326A</t>
  </si>
  <si>
    <t>PRO SAND PO 12X24 R</t>
  </si>
  <si>
    <t>I96070322A</t>
  </si>
  <si>
    <t>PRO IVORY PO 12X24 R</t>
  </si>
  <si>
    <t>I96070318A</t>
  </si>
  <si>
    <t>PRO CEMENT PO 12X24 R</t>
  </si>
  <si>
    <t>I96070320A</t>
  </si>
  <si>
    <t>PRO CONCRETE PO 12X24 R</t>
  </si>
  <si>
    <t>I64270016A</t>
  </si>
  <si>
    <t>PRO NUDE 24x24 R UP</t>
  </si>
  <si>
    <t>I64270018A</t>
  </si>
  <si>
    <t>PRO SAND 24x24 R UP</t>
  </si>
  <si>
    <t>I64270020A</t>
  </si>
  <si>
    <t>PRO IVORY 24x24 R UP</t>
  </si>
  <si>
    <t>I64270022A</t>
  </si>
  <si>
    <t>PRO CEMENT 24x24 R UP</t>
  </si>
  <si>
    <t>I64270024A</t>
  </si>
  <si>
    <t>PRO CONCRETE 24x24 R UP</t>
  </si>
  <si>
    <t>I96070424A</t>
  </si>
  <si>
    <t>PRO NUDE 24x24 R PO</t>
  </si>
  <si>
    <t>I96070426A</t>
  </si>
  <si>
    <t>PRO SAND 24x24 R PO</t>
  </si>
  <si>
    <t>I96070422A</t>
  </si>
  <si>
    <t>PRO IVORY 24x24 R PO</t>
  </si>
  <si>
    <t>I96070418A</t>
  </si>
  <si>
    <t>PRO CEMENT 24x24 R PO</t>
  </si>
  <si>
    <t>I96070420A</t>
  </si>
  <si>
    <t>PRO CONCRETE 24x24 R PO</t>
  </si>
  <si>
    <t>UPRONUP15GE</t>
  </si>
  <si>
    <t>PRO NUDE 21X21 UP</t>
  </si>
  <si>
    <t>UPROIUP15GU</t>
  </si>
  <si>
    <t>PRO IVORY 21X21 UP</t>
  </si>
  <si>
    <t>UPROCUP15GI</t>
  </si>
  <si>
    <t>PRO CEMENT 21x21 UP</t>
  </si>
  <si>
    <t>INC08DI0020A</t>
  </si>
  <si>
    <t>PRO NUDE 35x35 R UP</t>
  </si>
  <si>
    <t>INC08DI0024A</t>
  </si>
  <si>
    <t>PRO SAND 35x35 R UP</t>
  </si>
  <si>
    <t>INC08DI0023A</t>
  </si>
  <si>
    <t>PRO IVORY 35x35 R UP</t>
  </si>
  <si>
    <t>INC08DI0021A</t>
  </si>
  <si>
    <t>PRO CEMENT 35x35 R UP</t>
  </si>
  <si>
    <t>INC08DI0022A</t>
  </si>
  <si>
    <t>PRO CONCRETE 35x35 R UP</t>
  </si>
  <si>
    <t>INC06CZ0012A</t>
  </si>
  <si>
    <t>PRO NUDE 35x35 R PO</t>
  </si>
  <si>
    <t>INC06CZ0013A</t>
  </si>
  <si>
    <t>PRO SAND 35x35 R PO</t>
  </si>
  <si>
    <t>INC06CZ0011A</t>
  </si>
  <si>
    <t xml:space="preserve">PRO IVORY 35x35 R PO </t>
  </si>
  <si>
    <t>INC06CZ0009A</t>
  </si>
  <si>
    <t>PRO CEMENT 35x35 R PO</t>
  </si>
  <si>
    <t>INC06CZ0010A</t>
  </si>
  <si>
    <t>PRO CONCRETE 35x35 R PO</t>
  </si>
  <si>
    <t>UPRONGP2448R</t>
  </si>
  <si>
    <t>PRO NUDE UP 24X48 R</t>
  </si>
  <si>
    <t>UPROSGP2448R</t>
  </si>
  <si>
    <t>PRO SAND UP 24X48 R</t>
  </si>
  <si>
    <t>UPROIGP2448R</t>
  </si>
  <si>
    <t>PRO IVORY UP 24X48 R</t>
  </si>
  <si>
    <t>UPRCMGP2448R</t>
  </si>
  <si>
    <t>PRO CEMENT UP 24X48 R</t>
  </si>
  <si>
    <t>UPRCNGP2448R</t>
  </si>
  <si>
    <t>PRO CONCRETE UP 24X48 R</t>
  </si>
  <si>
    <t>UPRONPO2448R</t>
  </si>
  <si>
    <t>PRO NUDE PO 24X48 R</t>
  </si>
  <si>
    <t>UPROSPO2448R</t>
  </si>
  <si>
    <t>PRO SAND PO 24X48 R</t>
  </si>
  <si>
    <t>UPROIPO2448R</t>
  </si>
  <si>
    <t>PRO IVORY PO 24X48 R</t>
  </si>
  <si>
    <t>UPROCPO2848R</t>
  </si>
  <si>
    <t>PRO CEMENT PO 24X48 R</t>
  </si>
  <si>
    <t>UPRCNPO2448R</t>
  </si>
  <si>
    <t>PRO CONCRETE PO 24X48 R</t>
  </si>
  <si>
    <t>I85040012A</t>
  </si>
  <si>
    <t>PRO IVORY UP 3X12</t>
  </si>
  <si>
    <t>I85040014A</t>
  </si>
  <si>
    <t>PRO NUDE UP 3X12</t>
  </si>
  <si>
    <t>I85040008A</t>
  </si>
  <si>
    <t>PRO CEMENT UP 3X12</t>
  </si>
  <si>
    <t>I85040010A</t>
  </si>
  <si>
    <t>PRO CONCRETE UP 3X12</t>
  </si>
  <si>
    <t>UFPRO01-13M</t>
  </si>
  <si>
    <t>PRO IVORY 13"X13" MOSAIC</t>
  </si>
  <si>
    <t>UFPRO02-13M</t>
  </si>
  <si>
    <t>PRO NUDE 13"X13" MOSAIC</t>
  </si>
  <si>
    <t>UFPRO03-13M</t>
  </si>
  <si>
    <t>PRO CEMENT 13"X13" MOSAIC</t>
  </si>
  <si>
    <t>UFPRO04-13M</t>
  </si>
  <si>
    <t>PRO CONCRETE 13"X13" MOSAIC</t>
  </si>
  <si>
    <t>UFPRO01-S4312</t>
  </si>
  <si>
    <t>PRO IVORY 3X12 BULLNOSE</t>
  </si>
  <si>
    <t>UFPRO02-S4312</t>
  </si>
  <si>
    <t>PRO NUDE 3X12 BULLNOSE</t>
  </si>
  <si>
    <t>UFPRO03-S4312</t>
  </si>
  <si>
    <t>PRO CEMENT 3X12 BULLNOSE</t>
  </si>
  <si>
    <t>UFPRO04-S4312</t>
  </si>
  <si>
    <t>PRO CONCRETE 3X12 BULLNOSE</t>
  </si>
  <si>
    <r>
      <rPr>
        <b/>
        <sz val="24"/>
        <rFont val="Roca Light"/>
        <family val="3"/>
      </rPr>
      <t>PRO MAX</t>
    </r>
    <r>
      <rPr>
        <sz val="22"/>
        <rFont val="Roca Light"/>
        <family val="3"/>
      </rPr>
      <t xml:space="preserve">    </t>
    </r>
    <r>
      <rPr>
        <sz val="12"/>
        <rFont val="Roca Light"/>
        <family val="3"/>
      </rPr>
      <t>- GLAZED PORCELAIN</t>
    </r>
  </si>
  <si>
    <t>I64270130A</t>
  </si>
  <si>
    <t>PRO MAX NUDE UP 12X24 R</t>
  </si>
  <si>
    <t>I64260132A</t>
  </si>
  <si>
    <t>PRO MAX SAND UP 12X24 R</t>
  </si>
  <si>
    <t>I64270134A</t>
  </si>
  <si>
    <t>PRO MAX IVORY UP 12X24 R</t>
  </si>
  <si>
    <t>I64270136A</t>
  </si>
  <si>
    <t>PRO MAX CEMENT UP 12X24 R</t>
  </si>
  <si>
    <t>I64270138A</t>
  </si>
  <si>
    <t>PRO MAX CONRETE UP 12X24 R</t>
  </si>
  <si>
    <t>I64260130A</t>
  </si>
  <si>
    <t>PRO MAX NUDE 12X24 ABS</t>
  </si>
  <si>
    <t>I64260136A</t>
  </si>
  <si>
    <t>PRO MAX CEMENT 12X24 ABS</t>
  </si>
  <si>
    <t>I64260138A</t>
  </si>
  <si>
    <t>PRO MAX CONCRETE 12X24 ABS</t>
  </si>
  <si>
    <t>I64270030A</t>
  </si>
  <si>
    <t xml:space="preserve">PRO MAX NUDE 24x24 R </t>
  </si>
  <si>
    <t>I64270032A</t>
  </si>
  <si>
    <t xml:space="preserve">PRO MAX SAND 24x24 R </t>
  </si>
  <si>
    <t>I64270034A</t>
  </si>
  <si>
    <t xml:space="preserve">PRO MAX IVORY 24x24 R </t>
  </si>
  <si>
    <t>I64270036A</t>
  </si>
  <si>
    <t xml:space="preserve">PRO MAX CEMENT 24x24 R </t>
  </si>
  <si>
    <t>I64270038A</t>
  </si>
  <si>
    <t xml:space="preserve">PRO MAX CONCRET 24x24 R </t>
  </si>
  <si>
    <t>RIVIERE</t>
  </si>
  <si>
    <t>Glazed Porcelain</t>
  </si>
  <si>
    <t>F6J0B57041</t>
  </si>
  <si>
    <t>RIVIERE BEIGE 12X24 R</t>
  </si>
  <si>
    <t>F6J0B57021</t>
  </si>
  <si>
    <t>RIVIERE GRIS 12X24 R</t>
  </si>
  <si>
    <t>F6J0B60041</t>
  </si>
  <si>
    <t>RIVIERE BEIGE 24X24 R</t>
  </si>
  <si>
    <t>F6J0B60021</t>
  </si>
  <si>
    <t>RIVIERE GRIS 24X24 R</t>
  </si>
  <si>
    <t>F6J0B54041</t>
  </si>
  <si>
    <t>RIVIERE BEIGE 24X48 R</t>
  </si>
  <si>
    <t>F6J0B54021</t>
  </si>
  <si>
    <t>RIVIERE GRIS 24X48 R</t>
  </si>
  <si>
    <t>F6J0G54041</t>
  </si>
  <si>
    <t>RIVIERE RIGATO BEIGE 24X48 R</t>
  </si>
  <si>
    <t>F6J0G54021</t>
  </si>
  <si>
    <t>RIVIERE RIGATO GRIS 24X48 R</t>
  </si>
  <si>
    <t>F6J6B7O021</t>
  </si>
  <si>
    <t>48X110 FIELD</t>
  </si>
  <si>
    <t>48X110R RIVIERE RIGATO GRIS</t>
  </si>
  <si>
    <t>F6J6B7O041</t>
  </si>
  <si>
    <t>48X110R RIVIERE RIGATO BEIGE</t>
  </si>
  <si>
    <t>F6J6B7O251</t>
  </si>
  <si>
    <t>48X110R RIVIERE CACAO</t>
  </si>
  <si>
    <r>
      <rPr>
        <b/>
        <sz val="24"/>
        <rFont val="Roca Light"/>
        <family val="3"/>
      </rPr>
      <t xml:space="preserve">ROCKART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NATURAL STONE &amp; GLASS MOSAICS</t>
    </r>
  </si>
  <si>
    <t>UCALOVA1ZGE</t>
  </si>
  <si>
    <t>10X10 MOSAIC</t>
  </si>
  <si>
    <t>Calacata Oval Mosaic 10"x10"</t>
  </si>
  <si>
    <t>UCALOVG1ZGE</t>
  </si>
  <si>
    <t>Calcata Gold Oval Mosaic 10"x10"</t>
  </si>
  <si>
    <t>UMARPIC1ZGE</t>
  </si>
  <si>
    <t>10.9x9.5 MOSAIC</t>
  </si>
  <si>
    <t>Marble Picket Mosaic 10.9"x9.5"</t>
  </si>
  <si>
    <t>47,47</t>
  </si>
  <si>
    <t>UCALBRI1ZGE</t>
  </si>
  <si>
    <t>Calacata Brick Mosaic 12"x12"</t>
  </si>
  <si>
    <t>UCALBRG1ZGE</t>
  </si>
  <si>
    <t>Calacata Gold Brick Mosaic 12"x12"</t>
  </si>
  <si>
    <t>FWMGST1002</t>
  </si>
  <si>
    <t>CARRARA PENNY ROUND 12X12 MOSAIC</t>
  </si>
  <si>
    <t>FWMGST2009</t>
  </si>
  <si>
    <t>GRAY GRANITE PENNY ROUND 12X12 MOSAIC</t>
  </si>
  <si>
    <t>FWMGST1001</t>
  </si>
  <si>
    <t>CARRARA HEXAGON 12X12 MOSAIC</t>
  </si>
  <si>
    <t>FWMGST2005</t>
  </si>
  <si>
    <t>GRAY GRANITE HEXAGON 12X12 MOSAIC</t>
  </si>
  <si>
    <t>FWMRGLDO01</t>
  </si>
  <si>
    <t>NERO MARQUINA DOTS 12X12 MOSAIC</t>
  </si>
  <si>
    <t>FWMRGLDO02</t>
  </si>
  <si>
    <t>WHITE STATUARY DOTS 12X12 MOSAIC</t>
  </si>
  <si>
    <t>USTMMFLO004</t>
  </si>
  <si>
    <t>10X12 MOSAIC</t>
  </si>
  <si>
    <t>DAISY FLOWER MARBLE MOSAIC 10X12</t>
  </si>
  <si>
    <t>USTMSPKE005</t>
  </si>
  <si>
    <t>SPIKE MARBLE MOSAIC 10X12</t>
  </si>
  <si>
    <t>USTMBWHX012</t>
  </si>
  <si>
    <t>9X12 MOSAIC</t>
  </si>
  <si>
    <t>BW HEXAGON MARBLE MOS 9X12</t>
  </si>
  <si>
    <t>USTMCHEV011</t>
  </si>
  <si>
    <t>11X12 MOSAIC</t>
  </si>
  <si>
    <t>CHEVRON WH &amp; GR MARBLE MOS 11X12</t>
  </si>
  <si>
    <t>USTMCWME011</t>
  </si>
  <si>
    <t>12X14 MOSAIC</t>
  </si>
  <si>
    <t>CARRARA WHITE METAL GEO 12x14 MOSAIC</t>
  </si>
  <si>
    <t>USTMNMME012</t>
  </si>
  <si>
    <t>NERO MARQUINA METAL GEO 12x14 MOSAIC</t>
  </si>
  <si>
    <t>USTMTAARE013</t>
  </si>
  <si>
    <t>TASSOS METAL ARROW 10x12 MOSAIC</t>
  </si>
  <si>
    <t>USTMNMARE014</t>
  </si>
  <si>
    <t>NERO METAL ARROW 10x12 MOSAIC</t>
  </si>
  <si>
    <t>USTMOVWM01</t>
  </si>
  <si>
    <t>10X11 MOSAIC</t>
  </si>
  <si>
    <t>OVAL NERO MARQUINA &amp; TASSOS 10X11 MOSAIC</t>
  </si>
  <si>
    <t>USTMTRWM04</t>
  </si>
  <si>
    <t>THASSOS TRIANGLE 12X14 MOSAIC</t>
  </si>
  <si>
    <t>USTMTRWM05</t>
  </si>
  <si>
    <t>NERO MARQUINA TRIANGLE 12X14 MOSAIC</t>
  </si>
  <si>
    <t>USTMCHWM07</t>
  </si>
  <si>
    <t>9X9 MOSAIC</t>
  </si>
  <si>
    <t>NERO MARQUINA SQUARE 9X9 MOSAIC</t>
  </si>
  <si>
    <t>USTHXWM08</t>
  </si>
  <si>
    <t>THASSOS &amp; NERO MARQUINA DOT 11X12 MOSAIC</t>
  </si>
  <si>
    <t>USTOCWM09</t>
  </si>
  <si>
    <t>12X13 MOSAIC</t>
  </si>
  <si>
    <t>THASSOS HEXAGON 12X13 MOSAIC</t>
  </si>
  <si>
    <t>USTOCWM10</t>
  </si>
  <si>
    <t>NERO MARQUINA HEXAGON 12X13 MOSAIC</t>
  </si>
  <si>
    <t>USTMHERR001</t>
  </si>
  <si>
    <t>HERRINGBONE MARBLE MOSAIC 12X12</t>
  </si>
  <si>
    <t>USTMBSWE002</t>
  </si>
  <si>
    <t>BASKET WEAVE MARBLE MOSAIC 12X12</t>
  </si>
  <si>
    <t>USTMBSWI003</t>
  </si>
  <si>
    <t>BASKET WEAVE MARBLE BW MOS 12X12</t>
  </si>
  <si>
    <t>USTMCBWI003</t>
  </si>
  <si>
    <t>CROSSED BASKET WEAVE MOS 12X12</t>
  </si>
  <si>
    <t>USTMCREY008</t>
  </si>
  <si>
    <t>KALEIDOSCOPE MARBLE MOSAIC 12X12</t>
  </si>
  <si>
    <t>USTMROMB006</t>
  </si>
  <si>
    <t>LARGE MARBLE RHOMBUS MOSAIC 12X12</t>
  </si>
  <si>
    <t>USTMRMBS007</t>
  </si>
  <si>
    <t>SMALL MARBLE RHOMBUS MOSAIC 12X12</t>
  </si>
  <si>
    <t>USTMNETB009</t>
  </si>
  <si>
    <t>MEDALLION BW MARBLE MOSAIC 12X12</t>
  </si>
  <si>
    <t>USTMNETG010</t>
  </si>
  <si>
    <t xml:space="preserve">MEDALLION GR MARBLE MOSAIC 12X12 </t>
  </si>
  <si>
    <t>USTMHEX011</t>
  </si>
  <si>
    <t>CARRARA MARBLE 1X1 HEXAGON 12X12 MOSAIC</t>
  </si>
  <si>
    <t>USTMSQ022</t>
  </si>
  <si>
    <t>CARRARA MARBLE 1X1 SQUARE 12X12 MOSAIC</t>
  </si>
  <si>
    <t>USTMHEX022</t>
  </si>
  <si>
    <t>CARRARA MARBLE 2X2 HEXAGON 12X12 MOSAIC</t>
  </si>
  <si>
    <t>USTMPN011</t>
  </si>
  <si>
    <t>CARRARA MARBLE PENNY ROUND 12X12 MOSAIC</t>
  </si>
  <si>
    <t>USTMLNT003</t>
  </si>
  <si>
    <t>CARRARA MARBLE LANTERN 12X12 MOSAIC</t>
  </si>
  <si>
    <t>UBCLST1212C</t>
  </si>
  <si>
    <t>BLUE CLST&amp;TASSOS CIRCLE 12X12 MOS</t>
  </si>
  <si>
    <t>UBCLST1212F</t>
  </si>
  <si>
    <t>BLUE CLST MIX CARRARA FAN 12X12 MOS</t>
  </si>
  <si>
    <t>UBCLST1212S</t>
  </si>
  <si>
    <t>BLUE CLST WHITE MIX STACKED 12X12 MOS</t>
  </si>
  <si>
    <t>UBCLT1212PR</t>
  </si>
  <si>
    <t>BLUE CLST WHITE MIX PENNY RND 12X12 MOS</t>
  </si>
  <si>
    <t>UBCLST1212P</t>
  </si>
  <si>
    <t>BLUE CLST WHITE MIX PICKET 12X12 MOS</t>
  </si>
  <si>
    <t>UGREMT1212C</t>
  </si>
  <si>
    <t>GREEN MRBL&amp;TASSOS CIRCLE 12X12 MOS</t>
  </si>
  <si>
    <t>UGREMT1212H</t>
  </si>
  <si>
    <t>GREEN MRBL HEXAGON 12X12 MOS</t>
  </si>
  <si>
    <t>UGREMT1212S</t>
  </si>
  <si>
    <t>GREEN MARBLE MIX STACKED 12X12 MOS</t>
  </si>
  <si>
    <t>UGRMT1212PR</t>
  </si>
  <si>
    <t>GREEN MARBLE MIX PENNY RND 12X12 MOS</t>
  </si>
  <si>
    <t>UGREMT210BR</t>
  </si>
  <si>
    <t>2 1/2X10 BRICK</t>
  </si>
  <si>
    <t xml:space="preserve">GREEN MARBLE BRICK 2.5X10 </t>
  </si>
  <si>
    <r>
      <rPr>
        <b/>
        <sz val="24"/>
        <rFont val="Roca Light"/>
        <family val="3"/>
      </rPr>
      <t xml:space="preserve">SAVOY   </t>
    </r>
    <r>
      <rPr>
        <sz val="12"/>
        <rFont val="Roca Light"/>
        <family val="3"/>
      </rPr>
      <t>- GLAZED PORCELAIN</t>
    </r>
  </si>
  <si>
    <t>USAVFDX16BI</t>
  </si>
  <si>
    <t>TRAVERTINE GRAY 12"X24"</t>
  </si>
  <si>
    <t>USAVFDX16BE</t>
  </si>
  <si>
    <t>TRAVERTINE BEIGE 12"X24"</t>
  </si>
  <si>
    <t>USAVFDX16BL</t>
  </si>
  <si>
    <t>FIORITO GRAY 12"X24"</t>
  </si>
  <si>
    <t>USAVFDX16BU</t>
  </si>
  <si>
    <t>FIORITO BEIGE 12"X24"</t>
  </si>
  <si>
    <t>USAVFDX16BJ</t>
  </si>
  <si>
    <t>RAPOLANO GRAY 12"X24"</t>
  </si>
  <si>
    <t>USAVFDX16BV</t>
  </si>
  <si>
    <t>RAPOLANO BEIGE 12"X24"</t>
  </si>
  <si>
    <t>USAVFDX1LBU</t>
  </si>
  <si>
    <t>FIORITO BEIGE  24"X48" R</t>
  </si>
  <si>
    <t>USAVFDX1LBV</t>
  </si>
  <si>
    <t>RAPOLANO BEIGE 24"X48" R</t>
  </si>
  <si>
    <t>new thickness</t>
  </si>
  <si>
    <t>USAVFDN1LBI</t>
  </si>
  <si>
    <t>TRAVERTINE GRAY 24"X48" R</t>
  </si>
  <si>
    <t>2539.8</t>
  </si>
  <si>
    <t>USAVFDN1LBE</t>
  </si>
  <si>
    <t>TRAVERTINE BEIGE 24"X48" R</t>
  </si>
  <si>
    <t>USAVFDN1LBL</t>
  </si>
  <si>
    <t>FIORITO GRAY 24"X48" R</t>
  </si>
  <si>
    <t>USAVFDN1LBU</t>
  </si>
  <si>
    <t>USAVFDN1LBJ</t>
  </si>
  <si>
    <t>RAPOLANO GRAY 24"X48" R</t>
  </si>
  <si>
    <t>USAVFDN1LBV</t>
  </si>
  <si>
    <r>
      <rPr>
        <b/>
        <sz val="24"/>
        <rFont val="Roca Light"/>
        <family val="3"/>
      </rPr>
      <t xml:space="preserve">SEATTLE     </t>
    </r>
    <r>
      <rPr>
        <sz val="12"/>
        <rFont val="Roca Light"/>
        <family val="3"/>
      </rPr>
      <t>- GLAZED &amp; POLISHED PORCELAIN</t>
    </r>
  </si>
  <si>
    <t>I67170024</t>
  </si>
  <si>
    <t>SEATTLE BLANCO UP 12X24 R</t>
  </si>
  <si>
    <t>I67180024</t>
  </si>
  <si>
    <t>SEATTLE CINZA UP 12X24 R</t>
  </si>
  <si>
    <t>I67170028</t>
  </si>
  <si>
    <t>SEATTLE BLANCO PO 12X24 R</t>
  </si>
  <si>
    <t>I67180028</t>
  </si>
  <si>
    <t>SEATTLE CINZA PO 12X24 R</t>
  </si>
  <si>
    <t>I67180032*</t>
  </si>
  <si>
    <t>SEATTLE CINZA PO 24X48 R</t>
  </si>
  <si>
    <r>
      <rPr>
        <b/>
        <sz val="24"/>
        <rFont val="Roca Light"/>
        <family val="3"/>
      </rPr>
      <t>SERENA</t>
    </r>
    <r>
      <rPr>
        <sz val="22"/>
        <rFont val="Roca Light"/>
        <family val="3"/>
      </rPr>
      <t xml:space="preserve">       </t>
    </r>
    <r>
      <rPr>
        <sz val="12"/>
        <rFont val="Roca Light"/>
        <family val="3"/>
      </rPr>
      <t>- GLAZED PORCELAIN</t>
    </r>
  </si>
  <si>
    <t>F5BE030BO1</t>
  </si>
  <si>
    <t>12X12 MOSAIC SERENA CROSSCUT BONE</t>
  </si>
  <si>
    <t>F5BE030MO1</t>
  </si>
  <si>
    <t>12X12 MOSAIC SERENA CROSSCUT MOKA</t>
  </si>
  <si>
    <t>F5BE130BO1</t>
  </si>
  <si>
    <t>12X12 MOSAIC SERENA VEINCUT BONE</t>
  </si>
  <si>
    <t>F5BE130MO1</t>
  </si>
  <si>
    <t>12X12 MOSAIC SERENA VEINCUT MOKA</t>
  </si>
  <si>
    <t>F5B0B57BO1</t>
  </si>
  <si>
    <t>12X24 R SERENA CROSSCUT BONE</t>
  </si>
  <si>
    <t>F5B0B57MO1</t>
  </si>
  <si>
    <t>12X24 R SERENA CROSSCUT MOKA</t>
  </si>
  <si>
    <t>F5B0D57BO1</t>
  </si>
  <si>
    <t>12X24 R SERENA VEINCUT BONE</t>
  </si>
  <si>
    <t>F5B0D57MO1</t>
  </si>
  <si>
    <t>12X24 R SERENA VEINCUT MOKA</t>
  </si>
  <si>
    <t>F5B0B54BO1</t>
  </si>
  <si>
    <t>24X48 R SERENA CROSSCUT BONE</t>
  </si>
  <si>
    <t>F5B0B54MO1</t>
  </si>
  <si>
    <t>24X48 R SERENA CROSSCUT MOKA</t>
  </si>
  <si>
    <t>F5B0D54BO1</t>
  </si>
  <si>
    <t>24X48 R SERENA VEINCUT BONE</t>
  </si>
  <si>
    <t>F5B0D54MO1</t>
  </si>
  <si>
    <t>24X48 R SERENA VEINCUT MOKA</t>
  </si>
  <si>
    <t>F5B0B4OBO1</t>
  </si>
  <si>
    <t>48X48 R SERENA CROSSCUT BONE</t>
  </si>
  <si>
    <t>F5B0B4OMO1</t>
  </si>
  <si>
    <t>48X48 R SERENA CROSSCUT MOKA</t>
  </si>
  <si>
    <t>F5B0D4OBO1</t>
  </si>
  <si>
    <t>48X48 R SERENA VEINCUT BONE</t>
  </si>
  <si>
    <t>F5B0D4OMO1</t>
  </si>
  <si>
    <t>48X48 R SERENA VEINCUT MOKA</t>
  </si>
  <si>
    <t>24x36R 20MM SERENA CROSSCUT BONE</t>
  </si>
  <si>
    <t>24x36R 20MM SERENA CROSSCUT MOKA</t>
  </si>
  <si>
    <t>F5B6D7OMO1</t>
  </si>
  <si>
    <t>48X110 R SERENA VEINCUT MOKA</t>
  </si>
  <si>
    <t>F5B6D7OBO1</t>
  </si>
  <si>
    <t>48X110 R SERENA VEINCUT BONE</t>
  </si>
  <si>
    <t>F5B6A7OMO1</t>
  </si>
  <si>
    <t>48X110 R SERENA CROSSCUT MOKA</t>
  </si>
  <si>
    <t>F5B6A7OBO1</t>
  </si>
  <si>
    <t>48X110 R SERENA CROSSCUT BONE</t>
  </si>
  <si>
    <r>
      <rPr>
        <b/>
        <sz val="16"/>
        <rFont val="Roca Light"/>
        <family val="3"/>
      </rPr>
      <t>SLABS</t>
    </r>
    <r>
      <rPr>
        <sz val="16"/>
        <rFont val="Roca Light"/>
        <family val="3"/>
      </rPr>
      <t xml:space="preserve">     - </t>
    </r>
    <r>
      <rPr>
        <sz val="11"/>
        <rFont val="Roca Light"/>
        <family val="3"/>
      </rPr>
      <t>GLAZED &amp; POLISHED PORCELAIN</t>
    </r>
  </si>
  <si>
    <t>FLOOR&amp;WALL</t>
  </si>
  <si>
    <t>FJJ045U011</t>
  </si>
  <si>
    <t>LM CARRARA MT 24X48 R</t>
  </si>
  <si>
    <t>FJJ035U011</t>
  </si>
  <si>
    <t>LM CARRARA MC 24X48 R</t>
  </si>
  <si>
    <t>FZO01540111</t>
  </si>
  <si>
    <t>LM KORONIS WHITE MC 24X48 R</t>
  </si>
  <si>
    <t>FZO0254011</t>
  </si>
  <si>
    <t>LM KORONIS WHITE MT 24X48 R</t>
  </si>
  <si>
    <t>FZN015U041</t>
  </si>
  <si>
    <t>LM AGATA MC 24X48 R PO</t>
  </si>
  <si>
    <t>F3904E8161</t>
  </si>
  <si>
    <t>LM SAHARA NOIR MT 24x48 R</t>
  </si>
  <si>
    <t>F3903E8161</t>
  </si>
  <si>
    <t>LM SAHARA NOIR MC 24x48 R</t>
  </si>
  <si>
    <t>FOI04E8011</t>
  </si>
  <si>
    <t>LM CALACATA LIGHT MT 24x48 R</t>
  </si>
  <si>
    <t>FOI03E8011</t>
  </si>
  <si>
    <t>LM CALACATA LIGHT MC 24x48 R</t>
  </si>
  <si>
    <t>F070154GO1</t>
  </si>
  <si>
    <t>LM CALACATA GOLD MT 24x48 R</t>
  </si>
  <si>
    <t>F070254GO1</t>
  </si>
  <si>
    <t>LM CALACATA GOLD MC 24x48 R</t>
  </si>
  <si>
    <t>FOK10E8021</t>
  </si>
  <si>
    <t>LM CONCRETE GRAY MC 24X48 R</t>
  </si>
  <si>
    <t>FOK11E8021</t>
  </si>
  <si>
    <t>LM CONCRETE GRAY MT 24X48 R</t>
  </si>
  <si>
    <t>FOK01MH021</t>
  </si>
  <si>
    <t>LM CONCRETE OFF WHITE MT 48x48 R</t>
  </si>
  <si>
    <t>FOK02MH021</t>
  </si>
  <si>
    <t>LM CONCRETE OFF WHITE MC 48X48 R</t>
  </si>
  <si>
    <t>FOK00E80111</t>
  </si>
  <si>
    <t>LM CONCRETE OFF WHITE ABS 48X48 R</t>
  </si>
  <si>
    <t>FOK01EU021</t>
  </si>
  <si>
    <t>LM CONCRETE GRAY MC 48x48 R</t>
  </si>
  <si>
    <t>FOK02EU021</t>
  </si>
  <si>
    <t>LM CONCRETE GRAY MT 48X48 R</t>
  </si>
  <si>
    <t>FOK03E8021</t>
  </si>
  <si>
    <t>LM CONCRETE GRAY ABS 48X48 R</t>
  </si>
  <si>
    <t>FNJ02E8251</t>
  </si>
  <si>
    <t>LM MARBLE SORRENTO MC 48X48 R</t>
  </si>
  <si>
    <t>FL603EU011</t>
  </si>
  <si>
    <t>LM MARBLE LASSA MC 48X48 R</t>
  </si>
  <si>
    <t>FL604EU011</t>
  </si>
  <si>
    <t>LM MARBLE LASSA MT 48X48 R</t>
  </si>
  <si>
    <t>FJJ02EU011</t>
  </si>
  <si>
    <t>LM CARRARA  MC 48X48 R</t>
  </si>
  <si>
    <t>FJJ03E8011</t>
  </si>
  <si>
    <t>LM CARRARA MT 48X48 R</t>
  </si>
  <si>
    <t>FZO01E8011</t>
  </si>
  <si>
    <t>LM KORONIS WHITE MC 48X48 R</t>
  </si>
  <si>
    <t>FZO02E8011</t>
  </si>
  <si>
    <t>LM KORONIS WHITE MT 48X48 R</t>
  </si>
  <si>
    <t>FOI01EU011</t>
  </si>
  <si>
    <t>LM CALACATA LIGHT MC 48x48 R</t>
  </si>
  <si>
    <t>FOI02EU011</t>
  </si>
  <si>
    <t>LM CALACATA LIGHT MT 48X48 R</t>
  </si>
  <si>
    <t>F3901EU161</t>
  </si>
  <si>
    <t>LM SAHARA NOIR MC 48x48 R</t>
  </si>
  <si>
    <t>F3902EU161</t>
  </si>
  <si>
    <t>LM SAHARA NOIR MT 48x48 R</t>
  </si>
  <si>
    <t>F3702E8151</t>
  </si>
  <si>
    <t>LM MARBLE NOUVEAU MT 48X48</t>
  </si>
  <si>
    <t>F3701E8151</t>
  </si>
  <si>
    <t>LM MARBLE NOUVEAU MC 48X48</t>
  </si>
  <si>
    <t>FOJ01EU011</t>
  </si>
  <si>
    <t>LM MARBLE PARANA MC 48X48 R</t>
  </si>
  <si>
    <t>FRV01E8041</t>
  </si>
  <si>
    <t>LM ATHEA MC 48X48 R</t>
  </si>
  <si>
    <r>
      <rPr>
        <b/>
        <sz val="16"/>
        <rFont val="Roca Light"/>
        <family val="3"/>
      </rPr>
      <t>XL SLABS</t>
    </r>
    <r>
      <rPr>
        <sz val="16"/>
        <rFont val="Roca Light"/>
        <family val="3"/>
      </rPr>
      <t xml:space="preserve">     - </t>
    </r>
    <r>
      <rPr>
        <sz val="11"/>
        <rFont val="Roca Light"/>
        <family val="3"/>
      </rPr>
      <t>GLAZED &amp; POLISHED PORCELAIN</t>
    </r>
  </si>
  <si>
    <t>UBRECCM4898</t>
  </si>
  <si>
    <t>48X98 FIELD</t>
  </si>
  <si>
    <t>LM BRECCIA CAPRAIA PO 48X98 R</t>
  </si>
  <si>
    <t>UBRECSM4898</t>
  </si>
  <si>
    <t>LM BRECCIA CAPRAIA ST 48X98 R</t>
  </si>
  <si>
    <t>ULEGNMM4898</t>
  </si>
  <si>
    <t>LM LEGNO ROVERE UP 49X98R</t>
  </si>
  <si>
    <t>UMARPPM4898</t>
  </si>
  <si>
    <t>LM MARBLE PARANA PO 48X98 R</t>
  </si>
  <si>
    <t>UPANTPM4898</t>
  </si>
  <si>
    <t>LM PANTHEON PO 48X98 R</t>
  </si>
  <si>
    <t>URSLEPM4898</t>
  </si>
  <si>
    <t>LM ROSSO LEPANTO PO 48X98 R</t>
  </si>
  <si>
    <t>ROC042300191</t>
  </si>
  <si>
    <t>LM TAJ MAHAL PO 48X98 R</t>
  </si>
  <si>
    <t>964.71</t>
  </si>
  <si>
    <t>3590.25</t>
  </si>
  <si>
    <t>UTOPZPM4898</t>
  </si>
  <si>
    <t>LM TOPAZIO PO 48X98 R</t>
  </si>
  <si>
    <t>UGRAPPM6363</t>
  </si>
  <si>
    <t>63X63 FIELD</t>
  </si>
  <si>
    <t xml:space="preserve">LM GRAN CALACATA PO 63X63R  </t>
  </si>
  <si>
    <t>UKRNGPM6363</t>
  </si>
  <si>
    <t>LM KRONOS GREIGE UP 63X63 R</t>
  </si>
  <si>
    <t>UKRNOPM6363</t>
  </si>
  <si>
    <t>LM KRONOS OFF WHITE UP 63X63R</t>
  </si>
  <si>
    <t>UNUAPPM6363</t>
  </si>
  <si>
    <t>LM NUAGE PO 63X63 R</t>
  </si>
  <si>
    <t>UNUASPM6363</t>
  </si>
  <si>
    <t>LM NUAGE ST 63X63 R</t>
  </si>
  <si>
    <t>UGRCM163126</t>
  </si>
  <si>
    <t>63X126 FIELD</t>
  </si>
  <si>
    <t>LM GRAN CALACATA PO 63X126R</t>
  </si>
  <si>
    <t>UKRNCM63126</t>
  </si>
  <si>
    <t>LM KRONOS GREIGE UP 63X126R</t>
  </si>
  <si>
    <t>UKRNWM63126</t>
  </si>
  <si>
    <t>LM KRONOS OFF WHITE UP 63X126R</t>
  </si>
  <si>
    <t>UNUAPM63126</t>
  </si>
  <si>
    <t>LM NUAGE PO 63X126R</t>
  </si>
  <si>
    <t>UNUAGM63126</t>
  </si>
  <si>
    <t>LM NUAGE ST 63X126R</t>
  </si>
  <si>
    <t>ROC208D00211</t>
  </si>
  <si>
    <t>FS PIETRA GRAY A UP 63X126 R</t>
  </si>
  <si>
    <t>ROC208D00221</t>
  </si>
  <si>
    <t>FS PIETRA GRAY B UP 63X126 R</t>
  </si>
  <si>
    <t>ROC208D00101</t>
  </si>
  <si>
    <t>FS BIANCO REALE B PO 63X126 R</t>
  </si>
  <si>
    <t>ROC208D00111</t>
  </si>
  <si>
    <t>FS BIANCO REALE C PO 63X126 R</t>
  </si>
  <si>
    <t>ROC208D00121</t>
  </si>
  <si>
    <t>FS BIANCO REALE D PO 63X126 R</t>
  </si>
  <si>
    <t>ROC208D00131</t>
  </si>
  <si>
    <t>FS BIANCO REALE A UP 63X126 R</t>
  </si>
  <si>
    <t>ROC208D00141</t>
  </si>
  <si>
    <t>FS BIANCO REALE B UP 63X126 R</t>
  </si>
  <si>
    <t>ROC208D00091</t>
  </si>
  <si>
    <t>FS BIANCO REALE A PO 63X126 R</t>
  </si>
  <si>
    <t>ROC208D00161</t>
  </si>
  <si>
    <t>FS BIANCO REALE D UP 63X126 R</t>
  </si>
  <si>
    <t>ROC208D00151</t>
  </si>
  <si>
    <t>FS BIANCO REALE C UP 63X126 R</t>
  </si>
  <si>
    <t>A broken pallet fee of $65.00 will be added to orders for quantities smaller than a full pallet for 40X80, 48X98, 63X63 and 63x126 items from the XLSlabs series</t>
  </si>
  <si>
    <r>
      <t xml:space="preserve">ST. TROPEZ     </t>
    </r>
    <r>
      <rPr>
        <sz val="12"/>
        <rFont val="Roca Light"/>
        <family val="3"/>
      </rPr>
      <t>- CERAMIC WALL</t>
    </r>
  </si>
  <si>
    <t>FHWE06P011</t>
  </si>
  <si>
    <t>5X5 FIELD</t>
  </si>
  <si>
    <t>ST TROPEZ BLANCO 5x5</t>
  </si>
  <si>
    <t>FHWE06P021</t>
  </si>
  <si>
    <t>ST TROPEZ GRIS 5x5</t>
  </si>
  <si>
    <t>FHWE06P351</t>
  </si>
  <si>
    <t>ST TROPEZ BRONCE 5x5</t>
  </si>
  <si>
    <t>FHWE06PCO1</t>
  </si>
  <si>
    <t>ST TROPEZ CORAL 5x5</t>
  </si>
  <si>
    <t>FHWE06P151</t>
  </si>
  <si>
    <t>ST TROPEZ AZUL 5x5</t>
  </si>
  <si>
    <t>FHWEO6P211</t>
  </si>
  <si>
    <t>ST TROPEZ VERDE 5x5</t>
  </si>
  <si>
    <t>FHWE07P011</t>
  </si>
  <si>
    <t>2.5X5 FIELD</t>
  </si>
  <si>
    <t>ST TROPEZ BLANCO 2.5x5</t>
  </si>
  <si>
    <t>FHWE07P021</t>
  </si>
  <si>
    <t>ST TROPEZ GRIS 2.5x5</t>
  </si>
  <si>
    <t>FHWE07P351</t>
  </si>
  <si>
    <t>ST TROPEZ BRONCE 2. 5x5</t>
  </si>
  <si>
    <t>FHWE07PCO1</t>
  </si>
  <si>
    <t>ST TROPEZ CORAL 2.5x5</t>
  </si>
  <si>
    <t>FHWE07P151</t>
  </si>
  <si>
    <t>ST TROPEZ AZUL 2.5x5</t>
  </si>
  <si>
    <t>FHWEO7P211</t>
  </si>
  <si>
    <t>ST TROPEZ VERDE 2.5x5</t>
  </si>
  <si>
    <t>FHWE08P011</t>
  </si>
  <si>
    <t>5X5 BULLNOSE</t>
  </si>
  <si>
    <t>ST TROPEZ BLANCO 5x5 BULLNOSE</t>
  </si>
  <si>
    <t>FHWE09P011</t>
  </si>
  <si>
    <t>2.5X5 BULLNOSE</t>
  </si>
  <si>
    <t>ST TROPEZ BLANCO 2.5x5 BULLNOSE</t>
  </si>
  <si>
    <t>FHWE09P021</t>
  </si>
  <si>
    <t>ST TROPEZ GRIS 2.5x5 BULLNOSE</t>
  </si>
  <si>
    <t>FHWE09P351</t>
  </si>
  <si>
    <t>ST TROPEZ BRONCE 2. 5x5 BULLNOSE</t>
  </si>
  <si>
    <t>FHWE09PCO1</t>
  </si>
  <si>
    <t>ST TROPEZ CORAL 2.5x5 BULLNOSE</t>
  </si>
  <si>
    <t>FHWE09P151</t>
  </si>
  <si>
    <t>ST TROPEZ AZUL 2.5x5 BULLNOSE</t>
  </si>
  <si>
    <t>FHWEO9P211</t>
  </si>
  <si>
    <t>ST TROPEZ VERDE 2.5x5 BULLNOSE</t>
  </si>
  <si>
    <r>
      <rPr>
        <b/>
        <sz val="24"/>
        <rFont val="Roca Light"/>
        <family val="3"/>
      </rPr>
      <t xml:space="preserve">STATUARY     </t>
    </r>
    <r>
      <rPr>
        <sz val="12"/>
        <rFont val="Roca Light"/>
        <family val="3"/>
      </rPr>
      <t>- GLAZED &amp; POLISHED PORCELAIN</t>
    </r>
  </si>
  <si>
    <t>UFSTUP101-1224</t>
  </si>
  <si>
    <t>STATUARY WHITE 12X24 UP</t>
  </si>
  <si>
    <t>UFSTUR101-1224</t>
  </si>
  <si>
    <t>STATUARY WHITE 12X24 R UP</t>
  </si>
  <si>
    <t>UFST100-1224PO</t>
  </si>
  <si>
    <t>STATUARY PO 12X24 R</t>
  </si>
  <si>
    <t>USTATUP16IV</t>
  </si>
  <si>
    <t>STATUARY WHITE 24X24 R UP</t>
  </si>
  <si>
    <t>UFST100-24PO</t>
  </si>
  <si>
    <t>STATUARY PO 24X24 R</t>
  </si>
  <si>
    <t>USTAUUP1LBV</t>
  </si>
  <si>
    <t>STATUARY WHITE 24X48 R UP</t>
  </si>
  <si>
    <t>USTABPO2448R</t>
  </si>
  <si>
    <t>STATUARY PO 24X48 R</t>
  </si>
  <si>
    <t>USTABPO3535R</t>
  </si>
  <si>
    <t>STATUARY PO 35X35 R</t>
  </si>
  <si>
    <t>USTABGP3535R</t>
  </si>
  <si>
    <t>STATUARY UP 35X35 R</t>
  </si>
  <si>
    <t>UFSTU101-S43C9</t>
  </si>
  <si>
    <t>STATUARY WHITE 3X12 SBN UP</t>
  </si>
  <si>
    <t>UFSTUP-S43D9</t>
  </si>
  <si>
    <t>STATUARY WHITE 3X13 SBN UP</t>
  </si>
  <si>
    <t>UFSTUP101-13M*</t>
  </si>
  <si>
    <t>STATUARY WHITE UP 13X13 MOSAIC</t>
  </si>
  <si>
    <t>USTAWGP13M</t>
  </si>
  <si>
    <t>STATUARY WHITE UP 12X12 MOSAIC</t>
  </si>
  <si>
    <t>2588.54</t>
  </si>
  <si>
    <r>
      <rPr>
        <b/>
        <sz val="24"/>
        <rFont val="Roca Light"/>
        <family val="3"/>
      </rPr>
      <t xml:space="preserve">STATUARY WALL   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CERAMIC WALL</t>
    </r>
  </si>
  <si>
    <t>USTATUMGBNV*</t>
  </si>
  <si>
    <t>STATUARY WHITE MG 3X12 BN</t>
  </si>
  <si>
    <t>USTATMG312V</t>
  </si>
  <si>
    <t>STATUARY 3X12 MG UP</t>
  </si>
  <si>
    <t>UWAST101-36</t>
  </si>
  <si>
    <t>BRIGHT STATUARY 3X6</t>
  </si>
  <si>
    <t>UWASTM101-36</t>
  </si>
  <si>
    <t xml:space="preserve">MATTE STATUARY 3X6 </t>
  </si>
  <si>
    <t>UWAST101-410</t>
  </si>
  <si>
    <t>BRIGHT STATUARY 4X10</t>
  </si>
  <si>
    <t>UWAST101-410BV</t>
  </si>
  <si>
    <t>BRIGHT STATUARY 4X10 BEVELED</t>
  </si>
  <si>
    <t>UWASTM101-410</t>
  </si>
  <si>
    <t>MATTE STATUARY 4X10</t>
  </si>
  <si>
    <t>FSTRVW2A31</t>
  </si>
  <si>
    <t>STATUARY BRIGHT 6X18</t>
  </si>
  <si>
    <t>FSTRV04A31</t>
  </si>
  <si>
    <t>STATUARY BRIGHT 6X18 BULLNOSE</t>
  </si>
  <si>
    <t>UWSTB101-S4369</t>
  </si>
  <si>
    <t>BRIGHT STATUARY 3X6 SBN</t>
  </si>
  <si>
    <t>UWSTB101-S4310</t>
  </si>
  <si>
    <t>BRIGHT STATUARY 3X10 SBN</t>
  </si>
  <si>
    <r>
      <rPr>
        <b/>
        <sz val="24"/>
        <color rgb="FF000000"/>
        <rFont val="Roca Light"/>
        <family val="3"/>
      </rPr>
      <t>STONE BASEL</t>
    </r>
    <r>
      <rPr>
        <sz val="22"/>
        <color rgb="FF000000"/>
        <rFont val="Roca Light"/>
        <family val="3"/>
      </rPr>
      <t xml:space="preserve">     </t>
    </r>
    <r>
      <rPr>
        <sz val="12"/>
        <color rgb="FF000000"/>
        <rFont val="Roca Light"/>
        <family val="3"/>
      </rPr>
      <t>- GLAZED PORCELAIN</t>
    </r>
  </si>
  <si>
    <t>FKT0A57ZA1</t>
  </si>
  <si>
    <t>STONE BASEL CALIZA 12X24R</t>
  </si>
  <si>
    <t>48,49</t>
  </si>
  <si>
    <t>558.24</t>
  </si>
  <si>
    <t>2327.9</t>
  </si>
  <si>
    <t>FKT0A57021</t>
  </si>
  <si>
    <t>STONE BASEL GRIS 12X24R</t>
  </si>
  <si>
    <t>FKT0A54ZA1</t>
  </si>
  <si>
    <t>STONE BASEL CALIZA 24X48R</t>
  </si>
  <si>
    <t>15.50</t>
  </si>
  <si>
    <t>542.50</t>
  </si>
  <si>
    <t>FKT0A54021</t>
  </si>
  <si>
    <t>STONE BASEL GRIS 24X48R</t>
  </si>
  <si>
    <t>FKT0A54101</t>
  </si>
  <si>
    <t>STONE BASEL GRAFITO 24X48R</t>
  </si>
  <si>
    <t>TAJ MAHAL</t>
  </si>
  <si>
    <t>F6E0E54041</t>
  </si>
  <si>
    <t>TAJ MAHAL PO 24X48 R</t>
  </si>
  <si>
    <r>
      <rPr>
        <b/>
        <sz val="24"/>
        <rFont val="Roca Light"/>
        <family val="3"/>
      </rPr>
      <t>TEGEL</t>
    </r>
    <r>
      <rPr>
        <sz val="22"/>
        <rFont val="Roca Light"/>
        <family val="3"/>
      </rPr>
      <t xml:space="preserve">     </t>
    </r>
    <r>
      <rPr>
        <sz val="12"/>
        <rFont val="Roca Light"/>
        <family val="3"/>
      </rPr>
      <t>- CERAMIC WALL</t>
    </r>
  </si>
  <si>
    <t>UTEGEBG036V</t>
  </si>
  <si>
    <t>TEGEL OFF WHITE BG 3X6</t>
  </si>
  <si>
    <t>10</t>
  </si>
  <si>
    <t>23.46</t>
  </si>
  <si>
    <t>760</t>
  </si>
  <si>
    <t>1783.05</t>
  </si>
  <si>
    <t>UTEGEBG036G</t>
  </si>
  <si>
    <t>TEGEL TERRA BG 3X6</t>
  </si>
  <si>
    <t>UTEGEBG036L</t>
  </si>
  <si>
    <t>TEGEL TAUPE BG 3X6</t>
  </si>
  <si>
    <t>UTEGEBG036S</t>
  </si>
  <si>
    <t>TEGEL FOREST BG 3X6</t>
  </si>
  <si>
    <t>UTEGEBN036S</t>
  </si>
  <si>
    <t>TEGEL FOREST BG 3X6 SBN</t>
  </si>
  <si>
    <t>850</t>
  </si>
  <si>
    <t>1994.1</t>
  </si>
  <si>
    <t>UTEGEBN036L</t>
  </si>
  <si>
    <t>TEGEL TAUPE BG 3X6 SBN</t>
  </si>
  <si>
    <t>UTEGEBN036G</t>
  </si>
  <si>
    <t>TEGEL TERRA BG 3X6 SBN</t>
  </si>
  <si>
    <t>UTEGEBN036V</t>
  </si>
  <si>
    <t>TEGEL OFF WHITE BG 3X6 SBN</t>
  </si>
  <si>
    <r>
      <rPr>
        <b/>
        <sz val="24"/>
        <color rgb="FF000000"/>
        <rFont val="Roca Light"/>
        <family val="3"/>
      </rPr>
      <t>TERRANOVA</t>
    </r>
    <r>
      <rPr>
        <sz val="12"/>
        <color rgb="FF000000"/>
        <rFont val="Roca Light"/>
        <family val="3"/>
      </rPr>
      <t xml:space="preserve">       - GLAZED PORCELAIN</t>
    </r>
  </si>
  <si>
    <t>FR31A57161</t>
  </si>
  <si>
    <t>TERRANOVA NEGRO 12"X24" R</t>
  </si>
  <si>
    <t>48.5</t>
  </si>
  <si>
    <t>FR30A54161</t>
  </si>
  <si>
    <t>TERRANOVA NEGRO 24"X48" R</t>
  </si>
  <si>
    <r>
      <rPr>
        <b/>
        <sz val="24"/>
        <rFont val="Roca Light"/>
        <family val="3"/>
      </rPr>
      <t>TISSUE</t>
    </r>
    <r>
      <rPr>
        <sz val="12"/>
        <rFont val="Roca Light"/>
        <family val="3"/>
      </rPr>
      <t xml:space="preserve">     - CERAMIC WALL</t>
    </r>
  </si>
  <si>
    <t>F4301MC021</t>
  </si>
  <si>
    <t>16X48 FIELD</t>
  </si>
  <si>
    <t>TISSUE WHITE MT 16"X48" R</t>
  </si>
  <si>
    <r>
      <rPr>
        <b/>
        <sz val="24"/>
        <rFont val="Roca Light"/>
        <family val="3"/>
      </rPr>
      <t>TREVI</t>
    </r>
    <r>
      <rPr>
        <sz val="22"/>
        <rFont val="Roca Light"/>
        <family val="3"/>
      </rPr>
      <t xml:space="preserve">     </t>
    </r>
    <r>
      <rPr>
        <sz val="12"/>
        <rFont val="Roca Light"/>
        <family val="3"/>
      </rPr>
      <t>- GLAZED PORCELAIN</t>
    </r>
  </si>
  <si>
    <t>BTREV02-1224</t>
  </si>
  <si>
    <t>TREVI SILVER 12X24</t>
  </si>
  <si>
    <t>BTREV01-1224</t>
  </si>
  <si>
    <t xml:space="preserve">TREVI BIANCO 12X24 </t>
  </si>
  <si>
    <t>UTREVIU16BE</t>
  </si>
  <si>
    <t>TREVI ALMOND 12X24 </t>
  </si>
  <si>
    <t>UTREVIU16BI</t>
  </si>
  <si>
    <t>UTREVIU16BV</t>
  </si>
  <si>
    <t>FTTRVSL-S43C9</t>
  </si>
  <si>
    <t>TREVI SILVER 3X12 SBN</t>
  </si>
  <si>
    <t>FTTRVBN-S43C9</t>
  </si>
  <si>
    <t>TREVI BIANCO 3X12 SBN</t>
  </si>
  <si>
    <r>
      <rPr>
        <b/>
        <sz val="24"/>
        <rFont val="Roca Light"/>
        <family val="3"/>
      </rPr>
      <t xml:space="preserve">UNIQUE GROUND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GLAZED PORCELAIN</t>
    </r>
  </si>
  <si>
    <t>FUNIQUN1LBV</t>
  </si>
  <si>
    <t>UNIQUE GROUND BONE 24"X48" R</t>
  </si>
  <si>
    <t>22.82</t>
  </si>
  <si>
    <t>684.6</t>
  </si>
  <si>
    <t>FUNIQUN1LBI</t>
  </si>
  <si>
    <t>UNIQUE GROUND GRAY 24"X48" R</t>
  </si>
  <si>
    <r>
      <rPr>
        <b/>
        <sz val="24"/>
        <rFont val="Roca Light"/>
        <family val="3"/>
      </rPr>
      <t xml:space="preserve">VENATO   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GLAZED &amp; POLISHED PORCELAIN</t>
    </r>
  </si>
  <si>
    <t>GFSTVEN-2448PO</t>
  </si>
  <si>
    <t>VENATO 24"X48" R PO</t>
  </si>
  <si>
    <t>GFSTVEN-1224PO</t>
  </si>
  <si>
    <t>VENATO 12"X24" R PO</t>
  </si>
  <si>
    <t>GFSTVEN-1224</t>
  </si>
  <si>
    <t>VENATO 12"X24" R UP</t>
  </si>
  <si>
    <r>
      <rPr>
        <b/>
        <sz val="24"/>
        <rFont val="Roca Light"/>
        <family val="3"/>
      </rPr>
      <t xml:space="preserve">WESTON  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GLAZED CERAMIC</t>
    </r>
  </si>
  <si>
    <t>UWESTON13CE</t>
  </si>
  <si>
    <t>13X13 FIELD</t>
  </si>
  <si>
    <t>13X13 WESTON FD US BEIGE</t>
  </si>
  <si>
    <t>UWESTON13CG</t>
  </si>
  <si>
    <t>13X13 WESTON FD US BROWN</t>
  </si>
  <si>
    <t>UWESTON13CI</t>
  </si>
  <si>
    <t>13X13 WESTON FD US GRAY</t>
  </si>
  <si>
    <t>UWESTON13CV</t>
  </si>
  <si>
    <t>13X13 WESTON FD US WHITE</t>
  </si>
  <si>
    <t>UWESTON14HE</t>
  </si>
  <si>
    <t>17X17 FIELD</t>
  </si>
  <si>
    <t>17X17 WESTON FD US BEIGE</t>
  </si>
  <si>
    <t>928.48</t>
  </si>
  <si>
    <t>3714.82</t>
  </si>
  <si>
    <t>UWESTON14HG</t>
  </si>
  <si>
    <t>17X17 WESTON FD US BROWN</t>
  </si>
  <si>
    <t>UWESTON14HI</t>
  </si>
  <si>
    <t>17X17 WESTON FD US GRAY</t>
  </si>
  <si>
    <t>UWESTON14HV</t>
  </si>
  <si>
    <t>17X17 WESTON FD US WHITE</t>
  </si>
  <si>
    <t>UWESTON16BE</t>
  </si>
  <si>
    <t>12X24 WESTON FD US BEIGE</t>
  </si>
  <si>
    <t>UWESTON16BG</t>
  </si>
  <si>
    <t>12X24 WESTON FD US BROWN</t>
  </si>
  <si>
    <t>UWESTON16BI</t>
  </si>
  <si>
    <t>12X24 WESTON FD US GRAY</t>
  </si>
  <si>
    <t>UWESTON16BV</t>
  </si>
  <si>
    <t>12X24 WESTON FD US WHITE</t>
  </si>
  <si>
    <r>
      <rPr>
        <b/>
        <sz val="24"/>
        <rFont val="Roca Light"/>
        <family val="3"/>
      </rPr>
      <t>WIND</t>
    </r>
    <r>
      <rPr>
        <sz val="22"/>
        <rFont val="Roca Light"/>
        <family val="3"/>
      </rPr>
      <t xml:space="preserve">    </t>
    </r>
    <r>
      <rPr>
        <sz val="12"/>
        <rFont val="Roca Light"/>
        <family val="3"/>
      </rPr>
      <t>- CERAMIC WALL</t>
    </r>
  </si>
  <si>
    <t>FBR01MC011</t>
  </si>
  <si>
    <t>WIND WHITE 16X48 R</t>
  </si>
  <si>
    <r>
      <rPr>
        <b/>
        <sz val="24"/>
        <rFont val="Roca Light"/>
        <family val="3"/>
      </rPr>
      <t xml:space="preserve">WINTER  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CERAMIC WALL</t>
    </r>
  </si>
  <si>
    <t>UWINTBG16NU</t>
  </si>
  <si>
    <t>WINTER BLANCO 8"X24"</t>
  </si>
  <si>
    <t>UWINTBG16NE</t>
  </si>
  <si>
    <t>WINTER BEIGE 8"X24"</t>
  </si>
  <si>
    <t>UWINTBG16NI</t>
  </si>
  <si>
    <t>WINTER GRIS 8"X24"</t>
  </si>
  <si>
    <r>
      <rPr>
        <b/>
        <sz val="24"/>
        <rFont val="Roca Light"/>
        <family val="3"/>
      </rPr>
      <t xml:space="preserve">ZELLIGE   </t>
    </r>
    <r>
      <rPr>
        <sz val="22"/>
        <rFont val="Roca Light"/>
        <family val="3"/>
      </rPr>
      <t xml:space="preserve"> </t>
    </r>
    <r>
      <rPr>
        <sz val="12"/>
        <rFont val="Roca Light"/>
        <family val="3"/>
      </rPr>
      <t>- CERAMIC WALL</t>
    </r>
  </si>
  <si>
    <t>FHSE0MN011</t>
  </si>
  <si>
    <t>2.5X16 FIELD</t>
  </si>
  <si>
    <t>ZELLIGE WHITE 2.5X16</t>
  </si>
  <si>
    <t>FHSE0MNTG1</t>
  </si>
  <si>
    <t>ZELLIGE TENDER GRAY 2.5X16</t>
  </si>
  <si>
    <t>FHSE0MNDG1</t>
  </si>
  <si>
    <t>ZELLIGE DARK GRAY 2.5X16</t>
  </si>
  <si>
    <t>FHSE0MNEG1</t>
  </si>
  <si>
    <t>ZELLIGE EMERALD GREEN 2.5X16</t>
  </si>
  <si>
    <t>FHSE0MNDB1</t>
  </si>
  <si>
    <t>ZELLIGE DEEP BLUE 2.5X16</t>
  </si>
  <si>
    <t>FHSE0MJ011</t>
  </si>
  <si>
    <t>3/4X16 PENCIL</t>
  </si>
  <si>
    <t>ZELLIGE WHITE 3/4X16 PENCIL</t>
  </si>
  <si>
    <t>FHSE0MJTG1</t>
  </si>
  <si>
    <t>ZELLIGE TENDER GRAY 3/4X16 PENCIL</t>
  </si>
  <si>
    <t>FHSE0MJDG1</t>
  </si>
  <si>
    <t>ZELLIGE DARK GRAY 3/4X16 PENCIL</t>
  </si>
  <si>
    <t>FHSE0MJEG1</t>
  </si>
  <si>
    <t>ZELLIGE EMERALD GREEN 3/4X16 PENCIL</t>
  </si>
  <si>
    <t>FHSE0MJDB1</t>
  </si>
  <si>
    <t>ZELLIGE DEEP BLUE 3/4X16 PENCIL</t>
  </si>
  <si>
    <r>
      <rPr>
        <b/>
        <sz val="24"/>
        <rFont val="Roca Light"/>
        <family val="3"/>
      </rPr>
      <t>ZEN</t>
    </r>
    <r>
      <rPr>
        <sz val="22"/>
        <rFont val="Roca Light"/>
        <family val="3"/>
      </rPr>
      <t xml:space="preserve">    </t>
    </r>
    <r>
      <rPr>
        <sz val="12"/>
        <rFont val="Roca Light"/>
        <family val="3"/>
      </rPr>
      <t>- CERAMIC WALL</t>
    </r>
  </si>
  <si>
    <t>FCV01MC011</t>
  </si>
  <si>
    <t>ZEN WHITE 16X48 R</t>
  </si>
  <si>
    <r>
      <rPr>
        <b/>
        <sz val="24"/>
        <rFont val="Roca Light"/>
        <family val="3"/>
      </rPr>
      <t>ZEN STONE</t>
    </r>
    <r>
      <rPr>
        <sz val="22"/>
        <rFont val="Roca Light"/>
        <family val="3"/>
      </rPr>
      <t xml:space="preserve">    </t>
    </r>
    <r>
      <rPr>
        <sz val="12"/>
        <rFont val="Roca Light"/>
        <family val="3"/>
      </rPr>
      <t>- GLAZED PORCELAIN</t>
    </r>
  </si>
  <si>
    <t>UZENSTO1LBL</t>
  </si>
  <si>
    <t>ZEN STONE SILVER 24"X48" R</t>
  </si>
  <si>
    <t>UZENSTO1LBI</t>
  </si>
  <si>
    <t>ZEN STONE GRAY 24"X48" R</t>
  </si>
  <si>
    <t>UZENSTO16BL</t>
  </si>
  <si>
    <t>ZEN STONE SILVER 12"X24"</t>
  </si>
  <si>
    <t>UZENSTO16BI</t>
  </si>
  <si>
    <t>ZEN STONE GRAY 12"X24"</t>
  </si>
  <si>
    <t>ABBEY - WHITE BODY CERAMIC</t>
  </si>
  <si>
    <t>FOA3TAW831</t>
  </si>
  <si>
    <t>SUITE ABBEY FRESNO  12"x36" R</t>
  </si>
  <si>
    <t>ABACO - GLAZED PORCELAIN</t>
  </si>
  <si>
    <t>FWMR060021</t>
  </si>
  <si>
    <t>ABACO GRIS 24"x24" R</t>
  </si>
  <si>
    <t>FWMR060101</t>
  </si>
  <si>
    <t>ABACO GRAFITO 24"x24" R</t>
  </si>
  <si>
    <t>FWMR060371</t>
  </si>
  <si>
    <t>ABACO ARENA 24"x24" R</t>
  </si>
  <si>
    <t>FWMR060961</t>
  </si>
  <si>
    <t>ABACO OXIDO 24"x24" R</t>
  </si>
  <si>
    <t>(*) Additional formats / sizes available</t>
  </si>
  <si>
    <t>ABSOLUTE BROWN - GLAZED PORCELAIN</t>
  </si>
  <si>
    <t>F26029BBR1</t>
  </si>
  <si>
    <t>ABSOLUTE BROWN UP 35X35 R</t>
  </si>
  <si>
    <t>ROC04CZ0001</t>
  </si>
  <si>
    <t>ABSOLUTE BROWN PO 35X35 R</t>
  </si>
  <si>
    <t>ARCANO - GLAZED PORCELAIN</t>
  </si>
  <si>
    <t>ROC04DO0042</t>
  </si>
  <si>
    <t>ARCANO IN&amp;OUT 48X48 R</t>
  </si>
  <si>
    <t>ART - GLAZED PORCELAIN</t>
  </si>
  <si>
    <t>FYNE0MB991</t>
  </si>
  <si>
    <t>ART MULTICOLOR 8"X8"</t>
  </si>
  <si>
    <t>BALANCE - GLAZED PORCELAIN</t>
  </si>
  <si>
    <t>F1QB1AW021</t>
  </si>
  <si>
    <t>SUITE BALANCE GRAY 12X36 R</t>
  </si>
  <si>
    <t>F1QB1AW371</t>
  </si>
  <si>
    <t>SUITE BALANCE SAND 12X36 R</t>
  </si>
  <si>
    <t>F1Q7ANF021</t>
  </si>
  <si>
    <t>BALANCE GRAY 35X35 R</t>
  </si>
  <si>
    <t>F1Q7ANF011</t>
  </si>
  <si>
    <t>BALANCE WHITE 35X35 R</t>
  </si>
  <si>
    <t>F1Q7ANF371</t>
  </si>
  <si>
    <t>BALANCE SAND 35X35 R</t>
  </si>
  <si>
    <t>BLOCK - GLAZED PORCELAIN</t>
  </si>
  <si>
    <t>GRNE1MB151</t>
  </si>
  <si>
    <t>BLOCK FLOWER AZUL 20X20</t>
  </si>
  <si>
    <t>GRNE1MB211</t>
  </si>
  <si>
    <t>BLOCK FLOWER VERDE 20X20</t>
  </si>
  <si>
    <t>GRNE1MB971</t>
  </si>
  <si>
    <t>BLOCK FLOWER ACERO 20X20</t>
  </si>
  <si>
    <t>GRNE2MB151</t>
  </si>
  <si>
    <t>BLOCK TRIANGLE AZUL 20X20</t>
  </si>
  <si>
    <t>GRNE2MB211</t>
  </si>
  <si>
    <t>BLOCK TRIANGLE VERDE 20X20</t>
  </si>
  <si>
    <t>GRNE2MB971</t>
  </si>
  <si>
    <t>BLOCK TRIANGLE ACERO 20X20</t>
  </si>
  <si>
    <t>GRNE0MB151</t>
  </si>
  <si>
    <t>BLOCK SQUARE AZUL 20X20</t>
  </si>
  <si>
    <t>GRNE0MB211</t>
  </si>
  <si>
    <t>BLOCK SQUARE VERDE 20X20</t>
  </si>
  <si>
    <t>GRNE0MB971</t>
  </si>
  <si>
    <t>BLOCK SQUARE ACERO 20X20</t>
  </si>
  <si>
    <t>BLOSSOM - GLAZED PORCELAIN</t>
  </si>
  <si>
    <t>WALL &amp; FLOOR</t>
  </si>
  <si>
    <t>F1DR254021</t>
  </si>
  <si>
    <t>BLOSSOM DEKO GRIS 24X48R</t>
  </si>
  <si>
    <t>F1DR254371</t>
  </si>
  <si>
    <t>BLOSSOM DEKO ARENA 24X48R</t>
  </si>
  <si>
    <t>BRICK METALLIC - GLAZED PORCELAIN</t>
  </si>
  <si>
    <t>FIE011P021</t>
  </si>
  <si>
    <t>3"X12" FIELD</t>
  </si>
  <si>
    <t xml:space="preserve">BRICK METALLIC COBRE 3"x12" </t>
  </si>
  <si>
    <t>CHEVRON - GLAZED PORCELAIN</t>
  </si>
  <si>
    <t>FLAT6HZ021</t>
  </si>
  <si>
    <t>3X17 FIELD</t>
  </si>
  <si>
    <t>CHEVRON BORNEO GRIS 3.4"X17.3"</t>
  </si>
  <si>
    <t>FLAT6HZ831</t>
  </si>
  <si>
    <t>CHEVRON BORNEO FRESNO 3.4"X17.3"</t>
  </si>
  <si>
    <t>CC MOSAICS ++ - GLAZED PORCELAIN</t>
  </si>
  <si>
    <t>CCANTHPOSSW</t>
  </si>
  <si>
    <t>STACKED WHITE GLOSSY 1"X3" MOSAIC</t>
  </si>
  <si>
    <t>COTTO - GLAZED PORCELAIN</t>
  </si>
  <si>
    <t>FA102E858</t>
  </si>
  <si>
    <t>COTTO ROSSO 48"x48" R SOFT TOUCH</t>
  </si>
  <si>
    <t>FA102E8451</t>
  </si>
  <si>
    <t>COTTO VERDE 48"x48" R SOFT TOUCH</t>
  </si>
  <si>
    <t>DIMENSIONS BLOCK - CERAMIC WALL</t>
  </si>
  <si>
    <t>FGJ013925</t>
  </si>
  <si>
    <t>6.5X6.5 FIELD</t>
  </si>
  <si>
    <t>BLOCK GOLD 6.5"x6.5"</t>
  </si>
  <si>
    <t>FJG013925</t>
  </si>
  <si>
    <t>BLOCK RUST  6.5"x6.5"</t>
  </si>
  <si>
    <t>FJG013921</t>
  </si>
  <si>
    <t>BLOCK OXIDE  6.5"x6.5"</t>
  </si>
  <si>
    <t> </t>
  </si>
  <si>
    <t>DISTRICT - COLOR BODY PORCELAIN</t>
  </si>
  <si>
    <t>CFIND01-24</t>
  </si>
  <si>
    <t>DISTRICT NEGRO 24"X24" R</t>
  </si>
  <si>
    <t>CFIND02-24</t>
  </si>
  <si>
    <t>DISTRICT RUST 24"X24" R</t>
  </si>
  <si>
    <t>CFIND03-24</t>
  </si>
  <si>
    <t>DISTRICT GRIS 24"X24" R</t>
  </si>
  <si>
    <t>CFIND01-2448</t>
  </si>
  <si>
    <t>DISTRICT NEGRO 24"x48" R</t>
  </si>
  <si>
    <t>CFIND02-2448</t>
  </si>
  <si>
    <t>DISTRICT RUST 24"x48" R</t>
  </si>
  <si>
    <t>CFIND03-2448</t>
  </si>
  <si>
    <t>DISTRICT GRIS 24"x48" R</t>
  </si>
  <si>
    <t>CFIND01-2040</t>
  </si>
  <si>
    <t>20X40 FIELD</t>
  </si>
  <si>
    <t>DISTRICT NEGRO 20"X40" R</t>
  </si>
  <si>
    <t>CFIND02-2040</t>
  </si>
  <si>
    <t>DISTRICT RUST 20"X40" R</t>
  </si>
  <si>
    <t>CFIND03-2040</t>
  </si>
  <si>
    <t>DISTRICT GRIS 20"X40" R</t>
  </si>
  <si>
    <t>CFIND01-4040</t>
  </si>
  <si>
    <t>40X40 FIELD</t>
  </si>
  <si>
    <t>DISTRICT NEGRO 40"X40" R</t>
  </si>
  <si>
    <t>CFIND02-4040</t>
  </si>
  <si>
    <t>DISTRICT RUST 40"X40" R</t>
  </si>
  <si>
    <t>CFIND03-4040</t>
  </si>
  <si>
    <t>DISTRICT GRIS 40"X40" R</t>
  </si>
  <si>
    <t>ENYA - GLAZED PORCELAIN</t>
  </si>
  <si>
    <t>F1DR154ZA1</t>
  </si>
  <si>
    <t>24x48</t>
  </si>
  <si>
    <t>ENYA DEKO CALIZA 24x48R</t>
  </si>
  <si>
    <t>FLOW - CERAMIC WALL</t>
  </si>
  <si>
    <t>FOV011PBL1</t>
  </si>
  <si>
    <t xml:space="preserve">FLOW SPIRIT BLUE 3"X12" </t>
  </si>
  <si>
    <t>FOV011PPU1</t>
  </si>
  <si>
    <t>FLOW PURPLE DUSK 3"X12"</t>
  </si>
  <si>
    <t>FOV011P811</t>
  </si>
  <si>
    <t xml:space="preserve">FLOW LILAC SAND 3"X12" </t>
  </si>
  <si>
    <t>FOV011SOR1</t>
  </si>
  <si>
    <t xml:space="preserve">FLOW SOLAR ORANGE 3"X12" </t>
  </si>
  <si>
    <t>FOV021POR1</t>
  </si>
  <si>
    <t xml:space="preserve">FLOW VIVID ORANGE 3"X12" </t>
  </si>
  <si>
    <t>FOV021P021</t>
  </si>
  <si>
    <t xml:space="preserve">FLOW MIST GRAY 3"X12"  </t>
  </si>
  <si>
    <t>FERRO - COLOR BODY PORCELAIN</t>
  </si>
  <si>
    <t>CFMT01-1224</t>
  </si>
  <si>
    <t>FERRO STEEL 12"X24" R</t>
  </si>
  <si>
    <t>CFMT02-1224</t>
  </si>
  <si>
    <t>FERRO BROWN 12"X24" R</t>
  </si>
  <si>
    <t>CFMT03-1224</t>
  </si>
  <si>
    <t>FERRO SILVER 12"X24" R</t>
  </si>
  <si>
    <t>CFMT01-24</t>
  </si>
  <si>
    <t>FERRO STEEL 24"x24" R</t>
  </si>
  <si>
    <t>CFMT02-24</t>
  </si>
  <si>
    <t>FERRO BROWN 24"x24" R</t>
  </si>
  <si>
    <t>CFMT03-24</t>
  </si>
  <si>
    <t>FERRO SILVER 24"x24" R</t>
  </si>
  <si>
    <t>CFMT01-2448</t>
  </si>
  <si>
    <t>FERRO STEEL 24"X48" R</t>
  </si>
  <si>
    <t>CFMT02-2448</t>
  </si>
  <si>
    <t>FERRO BROWN 24"X48" R</t>
  </si>
  <si>
    <t>CFMT03-2448</t>
  </si>
  <si>
    <t>FERRO SILVER 24"X48" R</t>
  </si>
  <si>
    <t>FORMA - CERAMIC WALL</t>
  </si>
  <si>
    <t>F9601FY011</t>
  </si>
  <si>
    <t>8.5X8.5 FIELD</t>
  </si>
  <si>
    <t>FORMA BLACK WHITE 8.5"x8.5"</t>
  </si>
  <si>
    <t>F9601FY161</t>
  </si>
  <si>
    <t>FORMA BLACK 8.5"x8.5"</t>
  </si>
  <si>
    <t>FRAGMENTS - CERAMIC WALL</t>
  </si>
  <si>
    <t>INC12W20015A</t>
  </si>
  <si>
    <t>12x36 FIELD</t>
  </si>
  <si>
    <t>FRAGMENTS WHITE 12X36 R</t>
  </si>
  <si>
    <t>GATSBY - CERAMIC WALL</t>
  </si>
  <si>
    <t>F9701FY011</t>
  </si>
  <si>
    <t>GATSBY WHITE 8.5"x 8.5"</t>
  </si>
  <si>
    <t>F9701FY161</t>
  </si>
  <si>
    <t>GATSBY BLACK 8.5"x 8.5"</t>
  </si>
  <si>
    <t>F9701FY341</t>
  </si>
  <si>
    <t>GATSBY BLACK-PEARL 8.5"x 8.5"</t>
  </si>
  <si>
    <t>F9701FY381</t>
  </si>
  <si>
    <t>GATSBY BLACK-CHROME 8.5"x 8.5"</t>
  </si>
  <si>
    <t>F9702FY341</t>
  </si>
  <si>
    <t>GATSBY WHITE-PEARL 8.5"x 8.5"</t>
  </si>
  <si>
    <t>F9702FY381</t>
  </si>
  <si>
    <t>GATSBY WHITE-CHROME 8.5"x 8.5"</t>
  </si>
  <si>
    <t>GRIS DU MARAIS - GLAZED PORCELAIN</t>
  </si>
  <si>
    <t>F1S7A60041</t>
  </si>
  <si>
    <t>GRIS DU MARAIS BEIGE 24X24 R</t>
  </si>
  <si>
    <t>F1S7A60371</t>
  </si>
  <si>
    <t>GRIS DU MARAIS SAND 24X24 R</t>
  </si>
  <si>
    <t>F1S7A60021</t>
  </si>
  <si>
    <t>GRIS DU MARAIS GRAY 24X24 R</t>
  </si>
  <si>
    <t>F1S7A60101</t>
  </si>
  <si>
    <t>GRIS DU MARAIS GRAPHITO 24X24 R</t>
  </si>
  <si>
    <t>HANGAR - GLAZED PORCELAIN</t>
  </si>
  <si>
    <t>F3601E8021</t>
  </si>
  <si>
    <t>LM HANGAR CEMENT 48"x48" R ABS</t>
  </si>
  <si>
    <t>F3602E8021</t>
  </si>
  <si>
    <t>LM HANGAR CEMENT 48"x48" R</t>
  </si>
  <si>
    <t>INDIANA - GLAZED PORCELAIN</t>
  </si>
  <si>
    <t>FB7R0FP741</t>
  </si>
  <si>
    <t>INDIANA ROBLE 8"X48" R</t>
  </si>
  <si>
    <t>FB7R0FPNC1</t>
  </si>
  <si>
    <t>INDIANA NOCCE 8"X48" R</t>
  </si>
  <si>
    <t>FB7R0FPNT1</t>
  </si>
  <si>
    <t>INDIANA NATURAL 8"X48" R</t>
  </si>
  <si>
    <t>FB7R1MC741</t>
  </si>
  <si>
    <t>SUITE INDIANA ROBLE 16X48R</t>
  </si>
  <si>
    <t>FB7R1MCNC1</t>
  </si>
  <si>
    <t>SUITE INDIANA  NOCCE  16X48R</t>
  </si>
  <si>
    <t>FB7R1MCNT1</t>
  </si>
  <si>
    <t>SUITE INDIANA  NATURAL  16X48R</t>
  </si>
  <si>
    <t>KASHBAH - GLAZED PORCELAIN</t>
  </si>
  <si>
    <t>F1W7A54501</t>
  </si>
  <si>
    <t>KASBAH TERRACOTA 24X48 R</t>
  </si>
  <si>
    <t>F1W7A54021</t>
  </si>
  <si>
    <t>KASBAH GRAY 24X48 R</t>
  </si>
  <si>
    <t>F1W7A54371</t>
  </si>
  <si>
    <t>KASBAH SAND 24X48 R</t>
  </si>
  <si>
    <t>F1W7H54501</t>
  </si>
  <si>
    <t>FEZ DEKO TERRACOTA 24X48 R</t>
  </si>
  <si>
    <t>KRONOS - GLAZED PORCELAIN</t>
  </si>
  <si>
    <t>ROC048B00101</t>
  </si>
  <si>
    <t xml:space="preserve"> KRONOS CONCRET ABS 63X63 R</t>
  </si>
  <si>
    <t>ROC048B00111</t>
  </si>
  <si>
    <t xml:space="preserve"> KRONOS OFF WHITE ABS 63X63R</t>
  </si>
  <si>
    <t>ROC048B00121</t>
  </si>
  <si>
    <t xml:space="preserve"> KRONOS GREIGE ABS 63X63 R</t>
  </si>
  <si>
    <t>ROC048B00131</t>
  </si>
  <si>
    <t xml:space="preserve"> KRONOS CONCRET MT 63X63 R</t>
  </si>
  <si>
    <t>ROC048B00141</t>
  </si>
  <si>
    <t xml:space="preserve"> KRONOS OFF WHITE MT 63X63 R</t>
  </si>
  <si>
    <t>ROC048B00151</t>
  </si>
  <si>
    <t xml:space="preserve"> KRONOS GREIGE MT 63X63 R</t>
  </si>
  <si>
    <t>ROC048D00071</t>
  </si>
  <si>
    <t xml:space="preserve"> KRONOS GREIGE MT 63X126 R</t>
  </si>
  <si>
    <t>ROC048D00061</t>
  </si>
  <si>
    <t xml:space="preserve"> KRONOS OFF WHITE MT 63X126 R</t>
  </si>
  <si>
    <t>ROC048D00051</t>
  </si>
  <si>
    <t xml:space="preserve"> KRONOS CONCRET MT 63X126 R</t>
  </si>
  <si>
    <t>LIMESTONE - GLAZED PORCELAIN</t>
  </si>
  <si>
    <t>FDB7D57371</t>
  </si>
  <si>
    <t xml:space="preserve"> SUITE LIMESTONE AR 12X24R</t>
  </si>
  <si>
    <t>FDB7D57021</t>
  </si>
  <si>
    <t xml:space="preserve"> SUITE LIMESTONE GR 12X24R</t>
  </si>
  <si>
    <t>FDB7R57021</t>
  </si>
  <si>
    <t xml:space="preserve"> LIMESTONE GRIS 12X24R</t>
  </si>
  <si>
    <t>FDB7R57371</t>
  </si>
  <si>
    <t xml:space="preserve"> LIMESTONE ARENA 12X24R</t>
  </si>
  <si>
    <t>FDB7M57141</t>
  </si>
  <si>
    <t xml:space="preserve"> LIMESTONE VISON 12X24R</t>
  </si>
  <si>
    <t>FDB7R57011</t>
  </si>
  <si>
    <t xml:space="preserve"> LIMESTONE BLANCO 12X24R</t>
  </si>
  <si>
    <t>LUDO - CERAMIC WALL</t>
  </si>
  <si>
    <t>61190252A</t>
  </si>
  <si>
    <t>LUDO BLACK AC 12X24 R</t>
  </si>
  <si>
    <t>61190250A</t>
  </si>
  <si>
    <t>LUDO WHITE BR 12X24 R</t>
  </si>
  <si>
    <t>61190248A</t>
  </si>
  <si>
    <t>LUDO WHITE AC 12X24 R</t>
  </si>
  <si>
    <t>LUTHIER - GLAZED PORCELAIN</t>
  </si>
  <si>
    <t>FIF02FX021</t>
  </si>
  <si>
    <t>12X12 FIELD</t>
  </si>
  <si>
    <t>LUTHIER METALLIC 12"x 12"</t>
  </si>
  <si>
    <t>MODERN - CERAMIC WALL</t>
  </si>
  <si>
    <t>INC12W20004A</t>
  </si>
  <si>
    <t>MODERN COLORS AC 12X36 R</t>
  </si>
  <si>
    <t>MOB - CERAMIC WALL</t>
  </si>
  <si>
    <t>F38E0JO161</t>
  </si>
  <si>
    <t>6X7 FIELD</t>
  </si>
  <si>
    <t>MOB BLACK 6"x7" BRIGHT</t>
  </si>
  <si>
    <t>F3802GM161</t>
  </si>
  <si>
    <t>MOB BLACK 6"x7" MATTE</t>
  </si>
  <si>
    <t>F3802GM011</t>
  </si>
  <si>
    <t>MOB WHITE 6"x7" MATTE</t>
  </si>
  <si>
    <t>F3801JO04</t>
  </si>
  <si>
    <t>MOB METALLIC GOLD 6"X7" MATTE</t>
  </si>
  <si>
    <t>F3801JO21</t>
  </si>
  <si>
    <t>MOB METALLIC OXIDE 6"X7" MATTE</t>
  </si>
  <si>
    <t>F3801JO25</t>
  </si>
  <si>
    <t>MOB METALLIC RUST 6"X7" MATTE</t>
  </si>
  <si>
    <t>MYSTERY - GLAZED PORCELAIN</t>
  </si>
  <si>
    <t>FN5R0NF161</t>
  </si>
  <si>
    <t>MYSTERY BLACK 35X35R</t>
  </si>
  <si>
    <t>ORTIZ - GLAZED PORCELAIN</t>
  </si>
  <si>
    <t>INC04DO0014A</t>
  </si>
  <si>
    <t xml:space="preserve"> ORTIZ BEGE AC 48X48 R</t>
  </si>
  <si>
    <t>INC04DO0013A</t>
  </si>
  <si>
    <t xml:space="preserve"> ORTIZ CINZA AC 48X48 R</t>
  </si>
  <si>
    <t>INC04DO0012A</t>
  </si>
  <si>
    <t xml:space="preserve"> ORTIZ BEGE ABS 48X48 R</t>
  </si>
  <si>
    <t>INC04DO0011A</t>
  </si>
  <si>
    <t xml:space="preserve"> ORTIZ CINZA ABS 48X48 R</t>
  </si>
  <si>
    <t>PIGMENT - GLAZED PORCELAIN</t>
  </si>
  <si>
    <t>FLLR1NF991</t>
  </si>
  <si>
    <t>PIGMENT LAPATO MC 35"x35" R</t>
  </si>
  <si>
    <t>PLIER - CERAMIC WALL</t>
  </si>
  <si>
    <t>FCG01AW161</t>
  </si>
  <si>
    <t xml:space="preserve"> PLIER BLACK MT 12X36 R</t>
  </si>
  <si>
    <t>FCG01AW211</t>
  </si>
  <si>
    <t xml:space="preserve"> PLIER SAGE MT 12X36 R</t>
  </si>
  <si>
    <t>F5O07AW011</t>
  </si>
  <si>
    <t xml:space="preserve"> PLIER WHITE MT 12X36 R</t>
  </si>
  <si>
    <t>ROOM - CERAMIC WALL</t>
  </si>
  <si>
    <t>FB4T3AW011</t>
  </si>
  <si>
    <t>12"X36" FIELD</t>
  </si>
  <si>
    <t>ROOM BLANCO 12"X36" R</t>
  </si>
  <si>
    <t>FB43TAW011</t>
  </si>
  <si>
    <t>SUITE ROOM BLANCO 12"X36" R</t>
  </si>
  <si>
    <t>SLABS - GLAZED PORCELAIN</t>
  </si>
  <si>
    <t>FNL03E8161</t>
  </si>
  <si>
    <t xml:space="preserve"> NOIR ST LAURENT NG PO</t>
  </si>
  <si>
    <t>FPN01HS38</t>
  </si>
  <si>
    <t>SLAB FIRE 48"X98" R</t>
  </si>
  <si>
    <t>126.77</t>
  </si>
  <si>
    <t>FHW01HS211</t>
  </si>
  <si>
    <t>SAINT TROPEZ UP 48"X98" R</t>
  </si>
  <si>
    <t>FHW02HS21</t>
  </si>
  <si>
    <t>SAINT TROPEZ PO 48"X98" R</t>
  </si>
  <si>
    <t>F9800MR01</t>
  </si>
  <si>
    <t>SLAB CALACATA RENOIR 48"X98"R</t>
  </si>
  <si>
    <t>F1C03MRRJ1</t>
  </si>
  <si>
    <t xml:space="preserve"> ROSSO LEPANTO PO 48X98 R</t>
  </si>
  <si>
    <t>FDL04HS991</t>
  </si>
  <si>
    <t xml:space="preserve"> PALACE 4 UP 48X98 R</t>
  </si>
  <si>
    <t>FDL05HS991</t>
  </si>
  <si>
    <t xml:space="preserve"> PALACE 2 UP 48X98 R</t>
  </si>
  <si>
    <t>FDL01HS991</t>
  </si>
  <si>
    <t>FDL03HS991</t>
  </si>
  <si>
    <t xml:space="preserve"> PALACE 3 UP 48X98 R</t>
  </si>
  <si>
    <t>F4H00MR211</t>
  </si>
  <si>
    <t xml:space="preserve"> MYSTIC GREEN UP 48X98 R</t>
  </si>
  <si>
    <t>F00B1MR251</t>
  </si>
  <si>
    <t xml:space="preserve"> MARRON EMPERADOR PO 48X98R</t>
  </si>
  <si>
    <t>F00B0MR251</t>
  </si>
  <si>
    <t xml:space="preserve"> MARRON EMPERADOR UP 48X98R</t>
  </si>
  <si>
    <t>FZB02HS211</t>
  </si>
  <si>
    <t xml:space="preserve"> MARBLE VERDE ALPI UP 48X98R</t>
  </si>
  <si>
    <t>FZB01HS211</t>
  </si>
  <si>
    <t xml:space="preserve"> MARBLE VERDE ALPI PO 48X98R</t>
  </si>
  <si>
    <t>ROC048D00131</t>
  </si>
  <si>
    <t>LM TEMPESTA UP 63X126</t>
  </si>
  <si>
    <t>STUCCO - GLAZED PORCELAIN</t>
  </si>
  <si>
    <t>ROC04DO00371</t>
  </si>
  <si>
    <t xml:space="preserve"> STUCCO GESSO UP 48X48 R</t>
  </si>
  <si>
    <t>ROC04DO00391</t>
  </si>
  <si>
    <t xml:space="preserve"> STUCCO INDIGO UP 48X48 R</t>
  </si>
  <si>
    <t>ROC04DO00401</t>
  </si>
  <si>
    <t xml:space="preserve"> STUCCO SIENA UP 48X48 R</t>
  </si>
  <si>
    <t>ROC04DO00411</t>
  </si>
  <si>
    <t xml:space="preserve"> STUCCO CROMO UP 48X48 R</t>
  </si>
  <si>
    <t>F1F01MRCO1</t>
  </si>
  <si>
    <t xml:space="preserve"> STUCCO CORAL UP 48X98 R</t>
  </si>
  <si>
    <t>F1F01MR211</t>
  </si>
  <si>
    <t xml:space="preserve"> STUCCO CROMO UP 48X98 R</t>
  </si>
  <si>
    <t>F1F01MR041</t>
  </si>
  <si>
    <t xml:space="preserve"> STUCCO SIENA UP 48X98 R</t>
  </si>
  <si>
    <t>F1F01MR151</t>
  </si>
  <si>
    <t xml:space="preserve"> STUCCO INDIGO UP 48X98 R</t>
  </si>
  <si>
    <t>F1F02MR021</t>
  </si>
  <si>
    <t xml:space="preserve"> STUCCO GESSO UP 48X98 R</t>
  </si>
  <si>
    <t>TERRA DI SIENA - GLAZED PORCELAIN</t>
  </si>
  <si>
    <t>INC04DI0013A</t>
  </si>
  <si>
    <t xml:space="preserve"> TERRA DI SIENA  35X35 R</t>
  </si>
  <si>
    <t>INC04DI0012A</t>
  </si>
  <si>
    <t xml:space="preserve"> TERRA DI SIENA ABS 35X35 R</t>
  </si>
  <si>
    <t>TERRAIN - GLAZED PORCELAIN</t>
  </si>
  <si>
    <t>ROC04DO00291</t>
  </si>
  <si>
    <t>TERRAIN MT 48x48 R</t>
  </si>
  <si>
    <t>ROC04DO00281</t>
  </si>
  <si>
    <t>TERRAIN ABS 48X48 R</t>
  </si>
  <si>
    <t>TERRE - GLAZED PORCELAIN &amp; CERAMIC WALL</t>
  </si>
  <si>
    <t>FDDR060011</t>
  </si>
  <si>
    <t>TERRE BLANCO 24"x24" R</t>
  </si>
  <si>
    <t>FDDR060021</t>
  </si>
  <si>
    <t>TERRE GRIS 24"x24" R</t>
  </si>
  <si>
    <t>FDDR060041</t>
  </si>
  <si>
    <t>TERRE BEIGE 24"x24" R</t>
  </si>
  <si>
    <t>FDDR060101</t>
  </si>
  <si>
    <t>TERRE GRAFITO 24"x24" R</t>
  </si>
  <si>
    <t>FDDR1AW011</t>
  </si>
  <si>
    <t>SUITE TERRE BLANCO 12X36R</t>
  </si>
  <si>
    <t>FDDR1AW021</t>
  </si>
  <si>
    <t>SUITE TERRE GRIS 12X36R</t>
  </si>
  <si>
    <t>FDDR1AW041</t>
  </si>
  <si>
    <t>SUITE TERRE BEIGE 12X36R</t>
  </si>
  <si>
    <t>FDDR1AW101</t>
  </si>
  <si>
    <t>SUITE TERRE GRAFITO 12X36R</t>
  </si>
  <si>
    <t>FDDR2AW021</t>
  </si>
  <si>
    <t>DEKO TERRE GRIS 12X36R</t>
  </si>
  <si>
    <t>FDDR2AW041</t>
  </si>
  <si>
    <t>DEKO TERRE BEIGE 12X36R</t>
  </si>
  <si>
    <t>VULCANO - GLAZED &amp; POLISHED PORCELAIN</t>
  </si>
  <si>
    <t>FK4025738</t>
  </si>
  <si>
    <t>VULCANO CARVE 12"X24" R</t>
  </si>
  <si>
    <t>MOROCCAN ZELLIGE - CERAMIC WALL</t>
  </si>
  <si>
    <t>SUANTHMHBZ</t>
  </si>
  <si>
    <t>4X4 FIELD</t>
  </si>
  <si>
    <t>ZELLIGE BLACK 4"X4"</t>
  </si>
  <si>
    <t>SUANTHMHCZ</t>
  </si>
  <si>
    <t>ZELLIGE WHITE 4"X4"</t>
  </si>
  <si>
    <t>SUANTHMHMZ</t>
  </si>
  <si>
    <t>ZELLIGE GRAY 4"X4"</t>
  </si>
  <si>
    <t>SUANTHMHPZ</t>
  </si>
  <si>
    <t>ZELLIGE BLUE 4"X4"</t>
  </si>
  <si>
    <t>SUANTHMHSAZ</t>
  </si>
  <si>
    <t>ZELLIGE BEIGE 4"X4"</t>
  </si>
  <si>
    <t>2026 WARRANTY, TERMS, &amp; CONDITIONS OF SALE</t>
  </si>
  <si>
    <t>1- CUSTOMER SERVICE HOURS</t>
  </si>
  <si>
    <t xml:space="preserve">•  The Roca USA Inc. Order Desk is open from 8:00am to 5:00pm, Monday through Friday EST. A West Coast Order </t>
  </si>
  <si>
    <t xml:space="preserve">    Desk is also available at the above mentioned schedule for the Pacific Time Zone. </t>
  </si>
  <si>
    <t xml:space="preserve">•  The Roca toll-free number is 800-321-0684. </t>
  </si>
  <si>
    <t>6- SHIPPING CLAIMS</t>
  </si>
  <si>
    <t>INITIALS</t>
  </si>
  <si>
    <t>2- ORDERS</t>
  </si>
  <si>
    <t>________ INITIALS</t>
  </si>
  <si>
    <t>•  Unless otherwise stated on the bill of lading, Roca terms of shipment are F. O. B, the warehouse where material is located.</t>
  </si>
  <si>
    <t xml:space="preserve">•  Orders without proper part numbers, or UOM, may delay order confirmation, which could delay shipment.  </t>
  </si>
  <si>
    <t xml:space="preserve">•  Once a shipment has left the Roca warehouse, it is the responsibility of the consignee. </t>
  </si>
  <si>
    <t xml:space="preserve">•  Orders for field tile requesting less than full carton quantities will be rounded up to the nearest full carton quantity. </t>
  </si>
  <si>
    <t xml:space="preserve">•  When the shipment is picked up at the warehouse, the driver must sign the bill of lading indicating the number of pallets on </t>
  </si>
  <si>
    <t xml:space="preserve">•  Revisions to an existing order that has been closed for shipment, will result in a change of ship date.  </t>
  </si>
  <si>
    <t xml:space="preserve">    the shipment. When the shipment arrives at its destination, the customer should ask the person who receives it to count the </t>
  </si>
  <si>
    <t xml:space="preserve">•  Roca will not guarantee revisions once the product has been pulled and staged for shipment. </t>
  </si>
  <si>
    <t xml:space="preserve">    number of pallets. If there is a discrepancy in either pallet count or condition of the material, it must be noted on the bill of </t>
  </si>
  <si>
    <t>• No salesman or agent has the authority to make any changes to the terms and conditions of sale as documented</t>
  </si>
  <si>
    <t xml:space="preserve">    lading in the presence of the driver. </t>
  </si>
  <si>
    <t xml:space="preserve">    herein unless done so in writing by an Area or Sales Manager.</t>
  </si>
  <si>
    <t xml:space="preserve">•  Obvious damage to the shipment must also be noted on the bill of lading. Claims of this nature will not be honored unless </t>
  </si>
  <si>
    <t xml:space="preserve">    noted on the bill of lading. </t>
  </si>
  <si>
    <t>2- PRICE CONDITIONS</t>
  </si>
  <si>
    <t>•  All damaged goods must be held for inspection or until the claim is settled.  If customer schedules their own carrier, claims for</t>
  </si>
  <si>
    <t>•  All warehouse prices are F.O.B. the US warehouse where the product is available.</t>
  </si>
  <si>
    <t xml:space="preserve">    damages on shipments must be filed against the shipping company. </t>
  </si>
  <si>
    <t>•  All prices are subject to change without prior notice.</t>
  </si>
  <si>
    <t xml:space="preserve">•  All container prices are CFR Port of Entry unless differently stated on the invoice or a written agreement. </t>
  </si>
  <si>
    <t>7- CONTAINER ORDER</t>
  </si>
  <si>
    <t>•  A "documentation &amp; freight surcharge fee" of $110.00 is added to every direct container order.</t>
  </si>
  <si>
    <t xml:space="preserve">•  Transportation for Import Container Shipments is the responsibility of the consignee once they have cleared Customs at the </t>
  </si>
  <si>
    <t xml:space="preserve">•  All product pricing is sold in the unit of measure indicated. </t>
  </si>
  <si>
    <t xml:space="preserve">    Port of Entry, unless otherwise agreed with Roca. </t>
  </si>
  <si>
    <t>•  All field tile is sold in full cartons only.</t>
  </si>
  <si>
    <t xml:space="preserve">•  When the shipment arrives at its destination, please inspect the contents of the container before signing the bill of lading.  </t>
  </si>
  <si>
    <t>•  We do not break carton or package quantities. Only trim and decorative pieces are sold by the piece.</t>
  </si>
  <si>
    <t xml:space="preserve">    Obvious damage must also be noted on the bill of lading in the presence of the driver. </t>
  </si>
  <si>
    <t>•  Container trim orders must be in full cartons.  Container field tile orders must be in full pallets.</t>
  </si>
  <si>
    <t>•  Any charges incurred after the shipment clears customs will be the responsibility of the customer.</t>
  </si>
  <si>
    <t xml:space="preserve">•  Project Pricing and any other Special Pricing may only be approved by the Roca Sales Area Manager, </t>
  </si>
  <si>
    <t xml:space="preserve">•  Claims of this nature will not be honored unless noted on the bill of lading. </t>
  </si>
  <si>
    <t xml:space="preserve">    and orders will not be shipped until special pricing is authorized.</t>
  </si>
  <si>
    <t xml:space="preserve">•  Please take pictures before and after unloading pallets for insurance purposes. Roca will file insurance claims for you if we </t>
  </si>
  <si>
    <t>•  Project Pricing will have a validity of 3 months, unless otherwise noted by the Roca Sales &amp; Marketing Manager.</t>
  </si>
  <si>
    <t xml:space="preserve">    are notified within 1 week of receipt of the shipment. </t>
  </si>
  <si>
    <t>•  Stock profiles noted on Price Book are subject to change without prior notice throughout the year. Please contact your</t>
  </si>
  <si>
    <t xml:space="preserve">    Correction for either damages or breakages not made within 10 business days of receipt of  shipment will not be allowed. </t>
  </si>
  <si>
    <t xml:space="preserve">    Customer Service Representative should you have any inquiries regarding our warehouse stock profiles.</t>
  </si>
  <si>
    <t xml:space="preserve">    For assistance, contact the RTG Customer Service.</t>
  </si>
  <si>
    <t>3-SHIPPING</t>
  </si>
  <si>
    <t>8- LIMITED WARRANTY</t>
  </si>
  <si>
    <t xml:space="preserve">Roca has developed attractive contract carrier options, which are made available as a service to our distributors.  </t>
  </si>
  <si>
    <t xml:space="preserve">•  Roca warrants that its First Quality (i.e., Standard Grade) ceramic tile is manufactured according to ANSI A137.1-1988 and </t>
  </si>
  <si>
    <t xml:space="preserve">However, the distributor may utilize any transportation option they prefer including customer pickup.  Roca recommends </t>
  </si>
  <si>
    <t xml:space="preserve">    meets or exceeds those requirements.  This warranty does not apply to tile sold as economies (Contractors' Choice). </t>
  </si>
  <si>
    <t xml:space="preserve">that you check your bills of lading carefully. </t>
  </si>
  <si>
    <t xml:space="preserve">•  Roca makes no warranty as to the suitability of its tile for a particular installation.  RTG does not warrant that its glazed or </t>
  </si>
  <si>
    <t>•  Roca shall have no obligation to compensate for freight on products not shipped.</t>
  </si>
  <si>
    <t xml:space="preserve">    unglazed tile will not scratch, chip or show signs of wear.  If a tile product shall be determined not to conform to RTG </t>
  </si>
  <si>
    <t xml:space="preserve">•  Customer pickup is by appointment only, and 24-hour advance notice by the customer is required. Please call </t>
  </si>
  <si>
    <t xml:space="preserve">    warranty, the buyer’s sole and exclusive remedy shall be replacement of the product with tile of compatible color and shade, </t>
  </si>
  <si>
    <t xml:space="preserve">    800-321-0684  to schedule an appointment time.</t>
  </si>
  <si>
    <t xml:space="preserve">    as determined by RTG.</t>
  </si>
  <si>
    <t>•  Prepaid freight charges will be invoiced at current Shippers Rates.</t>
  </si>
  <si>
    <t>•  Extra loading charges will appear on invoice if applicable.</t>
  </si>
  <si>
    <t xml:space="preserve">LABOR AND INSTALLATION CHARGES ARE EXPRESSLY EXCLUDED FROM THIS WARRANTY.  RTG SHALL NOT BE </t>
  </si>
  <si>
    <t>•  All shipments are subject to shipper surcharges, which may be passed on to the customer.</t>
  </si>
  <si>
    <t xml:space="preserve">LIABLE UNDER THIS WARRANTY FOR ANY OTHER DAMAGES, COSTS OR EXPENSES INCLUDING, WITHOUT LIMITATION, </t>
  </si>
  <si>
    <t xml:space="preserve">ANY INCIDENTAL OR CONSEQUENTIAL DAMAGES.  THE WARRANTIES SET FORTH HEREIN ARE IN LIEU OF ALL OTHER </t>
  </si>
  <si>
    <t>4- RETURN AUTHORIZATION AND SHIPMENT CLAIMS</t>
  </si>
  <si>
    <t xml:space="preserve">WARRANTIES EXPRESSED OR IMPLIED.  RTG DISCLAIMS ALL OTHER WARRANTIES INCLUDING IMPLIED </t>
  </si>
  <si>
    <t xml:space="preserve">•  Requests for credit or correction for errors caused by incorrect order entry or shipment must be submitted in writing and sent </t>
  </si>
  <si>
    <t>WARRANTIES OF MERCHANTABILITY AND FITNESS FOR A PARTICULAR PURPOSE.</t>
  </si>
  <si>
    <t xml:space="preserve">    via fax or e-mail to customer service within 1 month of invoice date. </t>
  </si>
  <si>
    <t>THE USE OF MURIATIC ACID (HYDROCHLORIC ACID) IN REMOVING GROUT HAZE WILL</t>
  </si>
  <si>
    <t xml:space="preserve">•  Installation constitutes acceptance. Once installed, Roca assumes no liability for claims related to the product. Material must     </t>
  </si>
  <si>
    <t xml:space="preserve"> VOID ALL WARRANTIES.</t>
  </si>
  <si>
    <t xml:space="preserve">    be inspected upon arrival. Claims as to breakage, shortage or overage in quantity should be sent in writing to the Customer</t>
  </si>
  <si>
    <t xml:space="preserve">    Service Department no later than 3 business days after delivery. There will be no exceptions to this policy under any</t>
  </si>
  <si>
    <t xml:space="preserve">    condition.</t>
  </si>
  <si>
    <t>9- ORDER POLICY</t>
  </si>
  <si>
    <t>•  Any discrepancy should be noted on the bill of lading and verified with a signature from the driver delivering the load.</t>
  </si>
  <si>
    <t>Once you have received an order confirmation from your customer service representative, there is a 24 hour window</t>
  </si>
  <si>
    <t>•  Any claims of defects in quality shall be made in writing to Roca immediately upon discovery.  Roca shall be provided</t>
  </si>
  <si>
    <t xml:space="preserve">to verify that your order is correct and a ship date needs to be provided. Material can only be held for 2 weeks without </t>
  </si>
  <si>
    <t xml:space="preserve">    samples adequate to test the product claimed to be defective and shall be afforded the opportunity to take its own samples.</t>
  </si>
  <si>
    <t>shipping confirmation. After that, the following circumstances would apply:</t>
  </si>
  <si>
    <t>• Notification of Refused Shipments must be communicated to the Roca Customer Service Department within 1 business day in</t>
  </si>
  <si>
    <t>a) A 25% deposit (non refundable) is paid in order to hold material for 60 days. After 2 months of being allocated,</t>
  </si>
  <si>
    <t xml:space="preserve">    order to process a Return Authorization from, and credit customer's account. </t>
  </si>
  <si>
    <t>material will be released and the deposit lost.</t>
  </si>
  <si>
    <t xml:space="preserve">•  Distributor may not return any material without first obtaining approval from Roca through a Return Authorization consent  </t>
  </si>
  <si>
    <t xml:space="preserve">   form.  Roca will only accept return of current inventoried product in full cartons and in good, saleable condition within 1 month</t>
  </si>
  <si>
    <t>b) 100% payment of the order. In this case, product will be held at our warehouse for up to 4 months. After that,</t>
  </si>
  <si>
    <t xml:space="preserve">   of invoice date. A 20% restocking charge will be applied to any returned materials and customers will be responsible for the freight</t>
  </si>
  <si>
    <t>storage fees will apply.</t>
  </si>
  <si>
    <t xml:space="preserve">  cost of return.</t>
  </si>
  <si>
    <t>5- QUALITY</t>
  </si>
  <si>
    <t>10- HANDLING FEES</t>
  </si>
  <si>
    <t xml:space="preserve">•  Roca is responsible only for products manufactured and packaged at locations duly authorized by Roca.  Roca </t>
  </si>
  <si>
    <t>A broken pallet fee of $65.00 will be added to orders for quantities smaller than a full pallet for 40"X80" and 48"X98"  items</t>
  </si>
  <si>
    <t xml:space="preserve">    warrants only that the products it sells will at the time of delivery meet the applicable specifications Roca makes. No </t>
  </si>
  <si>
    <t>from the Slabs series.</t>
  </si>
  <si>
    <t xml:space="preserve">    other representations or warranties or quality merchantability or fitness for any purpose and none shall be Implied by any </t>
  </si>
  <si>
    <t xml:space="preserve">    written or oral statements made by any Roca employee or agent. Any quality claims included but not limited to shade, </t>
  </si>
  <si>
    <t xml:space="preserve">    appearance, caliber or obvious defects must be communicated before  the tile is installed.  </t>
  </si>
  <si>
    <t xml:space="preserve">    Installation constitutes acceptance. Once installed, Roca asumes no liability for claims related</t>
  </si>
  <si>
    <t xml:space="preserve">    to product. Material must be inspected upon arrival.</t>
  </si>
  <si>
    <t>I acknowledge that I have read the 2025 Roca Usa Inc. Warranty, Terms &amp; Conditions of Sale:</t>
  </si>
  <si>
    <t>DISTRIBUTOR: __________________________________________________________________________________________________________________________________________________________________________</t>
  </si>
  <si>
    <t>DISTRIBUTOR CONTACT:_________________________________________________________________________________________________________________________________________________________________________</t>
  </si>
  <si>
    <t>SIGNATURE:  ______________________________________________________________________________</t>
  </si>
  <si>
    <t>DATE: ______________________________________________________________________________</t>
  </si>
  <si>
    <t>ROCA USA INC.</t>
  </si>
  <si>
    <t xml:space="preserve">11190 NW 25th St. Miami, FL 33172 </t>
  </si>
  <si>
    <t>1-800-321-0684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</si>
</sst>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#,##0;[Red]\-&quot;$&quot;#,##0"/>
    <numFmt numFmtId="165" formatCode="&quot;$&quot;#,##0.00"/>
    <numFmt numFmtId="166" formatCode="&quot;$&quot;#,##0.00_);[Red]\(&quot;$&quot;#,##0.00\)"/>
    <numFmt numFmtId="167" formatCode="_(&quot;$&quot;* #,##0.00_);_(&quot;$&quot;* \(#,##0.00\);_(&quot;$&quot;* &quot;-&quot;??_);_(@_)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color indexed="8"/>
      <name val="Calibri"/>
      <family val="2"/>
    </font>
    <font>
      <sz val="11"/>
      <color theme="1"/>
      <name val="Calibri"/>
      <family val="2"/>
      <charset val="134"/>
      <scheme val="minor"/>
    </font>
    <font>
      <sz val="12"/>
      <name val="宋体"/>
      <charset val="134"/>
    </font>
    <font>
      <sz val="10"/>
      <name val="Roca Light"/>
      <family val="3"/>
    </font>
    <font>
      <sz val="11"/>
      <color indexed="8"/>
      <name val="Calibri"/>
      <family val="2"/>
      <scheme val="minor"/>
    </font>
    <font>
      <b/>
      <sz val="24"/>
      <color rgb="FF000000"/>
      <name val="Roca Light"/>
      <family val="3"/>
    </font>
    <font>
      <sz val="12"/>
      <color rgb="FF000000"/>
      <name val="Roca Light"/>
      <family val="3"/>
    </font>
    <font>
      <sz val="22"/>
      <color rgb="FF000000"/>
      <name val="Roca Light"/>
      <family val="3"/>
    </font>
    <font>
      <sz val="16"/>
      <name val="Roca"/>
      <family val="3"/>
    </font>
    <font>
      <sz val="11"/>
      <color theme="1"/>
      <name val="Roca"/>
      <family val="3"/>
    </font>
    <font>
      <b/>
      <sz val="20"/>
      <color indexed="63"/>
      <name val="Roca"/>
      <family val="3"/>
    </font>
    <font>
      <b/>
      <sz val="18"/>
      <color theme="1" tint="0.34998626667073579"/>
      <name val="Roca"/>
      <family val="3"/>
    </font>
    <font>
      <b/>
      <sz val="12"/>
      <color theme="1"/>
      <name val="Roca"/>
      <family val="3"/>
    </font>
    <font>
      <sz val="16"/>
      <color theme="1"/>
      <name val="Roca"/>
      <family val="3"/>
    </font>
    <font>
      <sz val="12"/>
      <color theme="3" tint="0.39997558519241921"/>
      <name val="Roca"/>
      <family val="3"/>
    </font>
    <font>
      <sz val="12"/>
      <color theme="1"/>
      <name val="Roca"/>
      <family val="3"/>
    </font>
    <font>
      <b/>
      <sz val="16"/>
      <color theme="1" tint="0.34998626667073579"/>
      <name val="Roca"/>
      <family val="3"/>
    </font>
    <font>
      <b/>
      <sz val="16"/>
      <color theme="1"/>
      <name val="Roca"/>
      <family val="3"/>
    </font>
    <font>
      <sz val="11"/>
      <name val="Roca Light"/>
      <family val="3"/>
    </font>
    <font>
      <sz val="8"/>
      <name val="Roca Light"/>
      <family val="3"/>
    </font>
    <font>
      <sz val="11"/>
      <color rgb="FFFF0000"/>
      <name val="Roca Light"/>
      <family val="3"/>
    </font>
    <font>
      <sz val="8"/>
      <color rgb="FFFF0000"/>
      <name val="Roca Light"/>
      <family val="3"/>
    </font>
    <font>
      <b/>
      <sz val="24"/>
      <name val="Roca Light"/>
      <family val="3"/>
    </font>
    <font>
      <sz val="12"/>
      <name val="Roca Light"/>
      <family val="3"/>
    </font>
    <font>
      <b/>
      <sz val="11"/>
      <name val="Roca Light"/>
      <family val="3"/>
    </font>
    <font>
      <b/>
      <sz val="10"/>
      <name val="Roca Light"/>
      <family val="3"/>
    </font>
    <font>
      <sz val="11"/>
      <color theme="1"/>
      <name val="Roca Light"/>
      <family val="3"/>
    </font>
    <font>
      <sz val="11"/>
      <color rgb="FF000000"/>
      <name val="Roca Light"/>
      <family val="3"/>
    </font>
    <font>
      <sz val="10"/>
      <color theme="1"/>
      <name val="Roca Light"/>
      <family val="3"/>
    </font>
    <font>
      <sz val="22"/>
      <name val="Roca Light"/>
      <family val="3"/>
    </font>
    <font>
      <sz val="10"/>
      <color rgb="FF000000"/>
      <name val="Roca Light"/>
      <family val="3"/>
    </font>
    <font>
      <sz val="12"/>
      <color theme="1"/>
      <name val="Roca Light"/>
      <family val="3"/>
    </font>
    <font>
      <b/>
      <sz val="12"/>
      <color theme="1"/>
      <name val="Roca Light"/>
      <family val="3"/>
    </font>
    <font>
      <b/>
      <sz val="8"/>
      <name val="Roca Light"/>
      <family val="3"/>
    </font>
    <font>
      <b/>
      <sz val="10"/>
      <color theme="1"/>
      <name val="Roca Light"/>
      <family val="3"/>
    </font>
    <font>
      <sz val="10"/>
      <color rgb="FFFF0000"/>
      <name val="Roca Light"/>
      <family val="3"/>
    </font>
    <font>
      <b/>
      <sz val="11"/>
      <color theme="3"/>
      <name val="Roca Light"/>
      <family val="3"/>
    </font>
    <font>
      <sz val="22"/>
      <color theme="1"/>
      <name val="Roca Light"/>
      <family val="3"/>
    </font>
    <font>
      <sz val="18"/>
      <color theme="1"/>
      <name val="Roca Light"/>
      <family val="3"/>
    </font>
    <font>
      <b/>
      <sz val="12"/>
      <color indexed="8"/>
      <name val="Roca Light"/>
      <family val="3"/>
    </font>
    <font>
      <sz val="16"/>
      <color indexed="8"/>
      <name val="Roca Light"/>
      <family val="3"/>
    </font>
    <font>
      <sz val="10"/>
      <color indexed="8"/>
      <name val="Roca Light"/>
      <family val="3"/>
    </font>
    <font>
      <b/>
      <sz val="22"/>
      <name val="Roca Light"/>
      <family val="3"/>
    </font>
    <font>
      <sz val="10"/>
      <color rgb="FF121212"/>
      <name val="Roca Light"/>
      <family val="3"/>
    </font>
    <font>
      <sz val="10"/>
      <color rgb="FF222222"/>
      <name val="Roca Light"/>
      <family val="3"/>
    </font>
    <font>
      <b/>
      <sz val="10.5"/>
      <name val="Roca Light"/>
      <family val="3"/>
    </font>
    <font>
      <b/>
      <i/>
      <sz val="10"/>
      <color theme="3"/>
      <name val="Roca Bold"/>
    </font>
    <font>
      <b/>
      <i/>
      <sz val="10"/>
      <color rgb="FF1F497D"/>
      <name val="Roca Bold"/>
    </font>
    <font>
      <b/>
      <sz val="11"/>
      <color rgb="FF000000"/>
      <name val="Roca Light"/>
      <family val="3"/>
    </font>
    <font>
      <i/>
      <sz val="10"/>
      <color rgb="FF000000"/>
      <name val="Roca Light"/>
      <family val="3"/>
    </font>
    <font>
      <sz val="9"/>
      <name val="Roca Light"/>
      <family val="3"/>
    </font>
    <font>
      <b/>
      <sz val="9"/>
      <name val="Roca Light"/>
      <family val="3"/>
    </font>
    <font>
      <sz val="9"/>
      <color theme="1"/>
      <name val="Roca Light"/>
      <family val="3"/>
    </font>
    <font>
      <sz val="16"/>
      <name val="Roca Light"/>
      <family val="3"/>
    </font>
    <font>
      <b/>
      <sz val="22"/>
      <color rgb="FF000000"/>
      <name val="Roca Light"/>
      <family val="3"/>
    </font>
    <font>
      <b/>
      <sz val="8"/>
      <color rgb="FF000000"/>
      <name val="Calibri"/>
      <family val="2"/>
      <scheme val="minor"/>
    </font>
    <font>
      <sz val="8"/>
      <color theme="1"/>
      <name val="Roca Light"/>
      <family val="3"/>
    </font>
    <font>
      <b/>
      <i/>
      <sz val="8"/>
      <color theme="3"/>
      <name val="Roca Light"/>
      <family val="3"/>
    </font>
    <font>
      <b/>
      <sz val="8"/>
      <color rgb="FFFF0000"/>
      <name val="Roca Light"/>
      <family val="3"/>
    </font>
    <font>
      <b/>
      <sz val="12"/>
      <color rgb="FF000000"/>
      <name val="Roca Light"/>
      <family val="3"/>
    </font>
    <font>
      <b/>
      <sz val="8"/>
      <color rgb="FF000000"/>
      <name val="Roboto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0.5"/>
      <name val="Calibri"/>
      <family val="2"/>
      <scheme val="minor"/>
    </font>
    <font>
      <b/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name val="Calibri"/>
      <family val="2"/>
      <scheme val="minor"/>
    </font>
    <font>
      <strike/>
      <sz val="10.5"/>
      <name val="Calibri"/>
      <family val="2"/>
      <scheme val="minor"/>
    </font>
    <font>
      <b/>
      <sz val="14"/>
      <name val="Roca Light"/>
      <family val="3"/>
    </font>
    <font>
      <sz val="10.5"/>
      <name val="Roca Light"/>
      <family val="3"/>
    </font>
    <font>
      <sz val="10.5"/>
      <color theme="1"/>
      <name val="Roca Light"/>
      <family val="3"/>
    </font>
    <font>
      <b/>
      <sz val="18"/>
      <color theme="1"/>
      <name val="Roca Light"/>
      <family val="3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8"/>
      <name val="Roca"/>
      <family val="3"/>
    </font>
    <font>
      <sz val="11"/>
      <name val="Roca"/>
      <family val="3"/>
    </font>
    <font>
      <sz val="22"/>
      <name val="Roca"/>
      <family val="3"/>
    </font>
    <font>
      <sz val="10"/>
      <name val="Roca"/>
      <family val="3"/>
    </font>
    <font>
      <b/>
      <sz val="11"/>
      <name val="Roca"/>
      <family val="3"/>
    </font>
    <font>
      <b/>
      <sz val="10"/>
      <name val="Roca"/>
      <family val="3"/>
    </font>
    <font>
      <sz val="10"/>
      <color theme="1"/>
      <name val="Roca"/>
      <family val="3"/>
    </font>
    <font>
      <sz val="11"/>
      <color rgb="FFFF0000"/>
      <name val="Roca"/>
      <family val="3"/>
    </font>
    <font>
      <sz val="8"/>
      <color rgb="FFFF0000"/>
      <name val="Roca"/>
      <family val="3"/>
    </font>
    <font>
      <sz val="10"/>
      <color theme="1" tint="0.34998626667073579"/>
      <name val="Roca"/>
      <family val="3"/>
    </font>
    <font>
      <sz val="22"/>
      <color rgb="FF000000"/>
      <name val="Roca"/>
      <family val="3"/>
    </font>
    <font>
      <sz val="9"/>
      <color theme="9" tint="-0.249977111117893"/>
      <name val="Roca"/>
      <family val="3"/>
    </font>
    <font>
      <sz val="9"/>
      <color theme="1"/>
      <name val="Roca"/>
      <family val="3"/>
    </font>
    <font>
      <sz val="10"/>
      <color rgb="FF000000"/>
      <name val="Roca"/>
      <family val="3"/>
    </font>
    <font>
      <b/>
      <sz val="8"/>
      <name val="Roca"/>
      <family val="3"/>
    </font>
    <font>
      <b/>
      <sz val="11"/>
      <color theme="3"/>
      <name val="Roca"/>
      <family val="3"/>
    </font>
    <font>
      <b/>
      <sz val="22"/>
      <name val="Roca"/>
      <family val="3"/>
    </font>
    <font>
      <sz val="10"/>
      <color rgb="FF201F1E"/>
      <name val="Roca"/>
      <family val="3"/>
    </font>
    <font>
      <b/>
      <sz val="24"/>
      <color rgb="FF000000"/>
      <name val="Roca Light"/>
    </font>
    <font>
      <sz val="22"/>
      <color rgb="FF000000"/>
      <name val="Roca Light"/>
    </font>
    <font>
      <b/>
      <sz val="10"/>
      <color theme="1"/>
      <name val="Roca Light"/>
    </font>
    <font>
      <sz val="12"/>
      <color rgb="FF000000"/>
      <name val="Roca Light"/>
    </font>
    <font>
      <b/>
      <sz val="24"/>
      <color rgb="FF000000"/>
      <name val="Roca Bold"/>
    </font>
    <font>
      <sz val="11"/>
      <color rgb="FF212121"/>
      <name val="Calibri"/>
      <family val="2"/>
      <scheme val="minor"/>
    </font>
    <font>
      <sz val="24"/>
      <name val="Roca Bold"/>
    </font>
    <font>
      <b/>
      <sz val="24"/>
      <color theme="1"/>
      <name val="Roca Light"/>
      <family val="3"/>
    </font>
    <font>
      <sz val="20"/>
      <color theme="1"/>
      <name val="Roca Light"/>
      <family val="3"/>
    </font>
    <font>
      <sz val="12"/>
      <name val="Roca Light"/>
    </font>
    <font>
      <sz val="11"/>
      <name val="Roca Light"/>
    </font>
    <font>
      <b/>
      <sz val="16"/>
      <name val="Roca Light"/>
      <family val="3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7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0">
    <xf numFmtId="0" fontId="0" fillId="0" borderId="0"/>
    <xf numFmtId="43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4" fillId="3" borderId="73"/>
    <xf numFmtId="43" fontId="3" fillId="0" borderId="0"/>
    <xf numFmtId="0" fontId="5" fillId="0" borderId="0"/>
    <xf numFmtId="0" fontId="6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3" fillId="0" borderId="0"/>
    <xf numFmtId="0" fontId="9" fillId="0" borderId="0"/>
    <xf numFmtId="167" fontId="3" fillId="0" borderId="0"/>
  </cellStyleXfs>
  <cellXfs count="1762">
    <xf numFmtId="0" fontId="0" fillId="0" borderId="0" xfId="0"/>
    <xf numFmtId="0" fontId="8" fillId="2" borderId="8" xfId="0" applyFont="1" applyFill="1" applyBorder="1" applyAlignment="1" applyProtection="1">
      <alignment vertical="center"/>
      <protection locked="0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4" fillId="2" borderId="0" xfId="0" applyFont="1" applyFill="1"/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/>
    </xf>
    <xf numFmtId="0" fontId="18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8" fillId="2" borderId="0" xfId="0" applyFont="1" applyFill="1"/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3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2" fillId="2" borderId="0" xfId="0" applyFont="1" applyFill="1" applyAlignment="1">
      <alignment horizontal="center" vertical="center"/>
    </xf>
    <xf numFmtId="49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12" fillId="2" borderId="0" xfId="0" applyFont="1" applyFill="1" applyAlignment="1" applyProtection="1">
      <alignment horizontal="left" vertical="center"/>
      <protection locked="0"/>
    </xf>
    <xf numFmtId="0" fontId="23" fillId="2" borderId="0" xfId="0" applyFont="1" applyFill="1" applyAlignment="1" applyProtection="1">
      <alignment vertical="center"/>
      <protection locked="0"/>
    </xf>
    <xf numFmtId="0" fontId="24" fillId="2" borderId="0" xfId="0" applyFont="1" applyFill="1" applyAlignment="1" applyProtection="1">
      <alignment horizontal="right" vertical="center"/>
      <protection locked="0"/>
    </xf>
    <xf numFmtId="0" fontId="23" fillId="2" borderId="0" xfId="0" applyFont="1" applyFill="1" applyAlignment="1" applyProtection="1">
      <alignment horizontal="center" vertical="center"/>
      <protection locked="0"/>
    </xf>
    <xf numFmtId="2" fontId="23" fillId="2" borderId="0" xfId="0" applyNumberFormat="1" applyFont="1" applyFill="1" applyAlignment="1" applyProtection="1">
      <alignment horizontal="center" vertical="center"/>
      <protection locked="0"/>
    </xf>
    <xf numFmtId="0" fontId="25" fillId="2" borderId="0" xfId="0" applyFont="1" applyFill="1" applyAlignment="1" applyProtection="1">
      <alignment vertical="center"/>
      <protection locked="0"/>
    </xf>
    <xf numFmtId="0" fontId="26" fillId="2" borderId="0" xfId="0" applyFont="1" applyFill="1" applyAlignment="1" applyProtection="1">
      <alignment horizontal="right" vertical="center"/>
      <protection locked="0"/>
    </xf>
    <xf numFmtId="0" fontId="29" fillId="2" borderId="0" xfId="0" applyFont="1" applyFill="1" applyAlignment="1" applyProtection="1">
      <alignment horizontal="center" vertical="center"/>
      <protection locked="0"/>
    </xf>
    <xf numFmtId="0" fontId="30" fillId="2" borderId="31" xfId="0" applyFont="1" applyFill="1" applyBorder="1" applyAlignment="1" applyProtection="1">
      <alignment horizontal="left" vertical="center" wrapText="1"/>
      <protection locked="0"/>
    </xf>
    <xf numFmtId="0" fontId="30" fillId="2" borderId="1" xfId="0" applyFont="1" applyFill="1" applyBorder="1" applyAlignment="1" applyProtection="1">
      <alignment horizontal="left" vertical="center" wrapText="1"/>
      <protection locked="0"/>
    </xf>
    <xf numFmtId="0" fontId="30" fillId="2" borderId="9" xfId="0" applyFont="1" applyFill="1" applyBorder="1" applyAlignment="1" applyProtection="1">
      <alignment horizontal="left" vertical="center" wrapText="1"/>
      <protection locked="0"/>
    </xf>
    <xf numFmtId="0" fontId="30" fillId="2" borderId="1" xfId="0" applyFont="1" applyFill="1" applyBorder="1" applyAlignment="1" applyProtection="1">
      <alignment vertical="center" wrapText="1"/>
      <protection locked="0"/>
    </xf>
    <xf numFmtId="0" fontId="30" fillId="2" borderId="9" xfId="0" applyFont="1" applyFill="1" applyBorder="1" applyAlignment="1" applyProtection="1">
      <alignment horizontal="center" vertical="center" wrapText="1"/>
      <protection locked="0"/>
    </xf>
    <xf numFmtId="0" fontId="30" fillId="2" borderId="1" xfId="0" applyFont="1" applyFill="1" applyBorder="1" applyAlignment="1" applyProtection="1">
      <alignment horizontal="center" vertical="center" wrapText="1"/>
      <protection locked="0"/>
    </xf>
    <xf numFmtId="0" fontId="30" fillId="2" borderId="14" xfId="0" applyFont="1" applyFill="1" applyBorder="1" applyAlignment="1" applyProtection="1">
      <alignment horizontal="center" vertical="center" wrapText="1"/>
      <protection locked="0"/>
    </xf>
    <xf numFmtId="2" fontId="30" fillId="2" borderId="4" xfId="0" applyNumberFormat="1" applyFont="1" applyFill="1" applyBorder="1" applyAlignment="1" applyProtection="1">
      <alignment horizontal="center" vertical="center" wrapText="1"/>
      <protection locked="0"/>
    </xf>
    <xf numFmtId="2" fontId="30" fillId="2" borderId="77" xfId="0" applyNumberFormat="1" applyFont="1" applyFill="1" applyBorder="1" applyAlignment="1" applyProtection="1">
      <alignment horizontal="center" vertical="center" wrapText="1"/>
      <protection locked="0"/>
    </xf>
    <xf numFmtId="2" fontId="30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30" fillId="2" borderId="0" xfId="0" applyNumberFormat="1" applyFont="1" applyFill="1" applyAlignment="1" applyProtection="1">
      <alignment horizontal="center" vertical="center" wrapText="1"/>
      <protection locked="0"/>
    </xf>
    <xf numFmtId="0" fontId="31" fillId="2" borderId="0" xfId="0" applyFont="1" applyFill="1" applyAlignment="1" applyProtection="1">
      <alignment vertical="center"/>
      <protection locked="0"/>
    </xf>
    <xf numFmtId="0" fontId="33" fillId="2" borderId="8" xfId="0" applyFont="1" applyFill="1" applyBorder="1" applyAlignment="1" applyProtection="1">
      <alignment horizontal="left" vertical="center"/>
      <protection locked="0"/>
    </xf>
    <xf numFmtId="0" fontId="33" fillId="2" borderId="0" xfId="0" applyFont="1" applyFill="1" applyAlignment="1" applyProtection="1">
      <alignment horizontal="left" vertical="center"/>
      <protection locked="0"/>
    </xf>
    <xf numFmtId="0" fontId="24" fillId="2" borderId="0" xfId="0" applyFont="1" applyFill="1" applyAlignment="1" applyProtection="1">
      <alignment horizontal="center" vertical="center"/>
      <protection locked="0"/>
    </xf>
    <xf numFmtId="0" fontId="30" fillId="2" borderId="9" xfId="0" applyFont="1" applyFill="1" applyBorder="1" applyAlignment="1" applyProtection="1">
      <alignment vertical="center" wrapText="1"/>
      <protection locked="0"/>
    </xf>
    <xf numFmtId="0" fontId="30" fillId="2" borderId="10" xfId="0" applyFont="1" applyFill="1" applyBorder="1" applyAlignment="1" applyProtection="1">
      <alignment horizontal="center" vertical="center" wrapText="1"/>
      <protection locked="0"/>
    </xf>
    <xf numFmtId="2" fontId="30" fillId="2" borderId="11" xfId="0" applyNumberFormat="1" applyFont="1" applyFill="1" applyBorder="1" applyAlignment="1" applyProtection="1">
      <alignment horizontal="center" vertical="center" wrapText="1"/>
      <protection locked="0"/>
    </xf>
    <xf numFmtId="2" fontId="30" fillId="2" borderId="71" xfId="0" applyNumberFormat="1" applyFont="1" applyFill="1" applyBorder="1" applyAlignment="1" applyProtection="1">
      <alignment horizontal="center" vertical="center" wrapText="1"/>
      <protection locked="0"/>
    </xf>
    <xf numFmtId="0" fontId="30" fillId="2" borderId="82" xfId="0" applyFont="1" applyFill="1" applyBorder="1" applyAlignment="1" applyProtection="1">
      <alignment horizontal="center" vertical="center" wrapText="1"/>
      <protection locked="0"/>
    </xf>
    <xf numFmtId="2" fontId="30" fillId="2" borderId="83" xfId="0" applyNumberFormat="1" applyFont="1" applyFill="1" applyBorder="1" applyAlignment="1" applyProtection="1">
      <alignment horizontal="center" vertical="center" wrapText="1"/>
      <protection locked="0"/>
    </xf>
    <xf numFmtId="0" fontId="35" fillId="2" borderId="6" xfId="0" applyFont="1" applyFill="1" applyBorder="1" applyAlignment="1">
      <alignment horizontal="left" vertical="top"/>
    </xf>
    <xf numFmtId="0" fontId="35" fillId="2" borderId="7" xfId="0" applyFont="1" applyFill="1" applyBorder="1" applyAlignment="1">
      <alignment horizontal="left" vertical="top"/>
    </xf>
    <xf numFmtId="0" fontId="35" fillId="2" borderId="8" xfId="0" applyFont="1" applyFill="1" applyBorder="1" applyAlignment="1">
      <alignment horizontal="left" vertical="top"/>
    </xf>
    <xf numFmtId="0" fontId="24" fillId="2" borderId="0" xfId="0" applyFont="1" applyFill="1" applyAlignment="1" applyProtection="1">
      <alignment vertical="center"/>
      <protection locked="0"/>
    </xf>
    <xf numFmtId="2" fontId="24" fillId="2" borderId="0" xfId="0" applyNumberFormat="1" applyFont="1" applyFill="1" applyAlignment="1" applyProtection="1">
      <alignment horizontal="center" vertical="center"/>
      <protection locked="0"/>
    </xf>
    <xf numFmtId="0" fontId="30" fillId="2" borderId="3" xfId="0" applyFont="1" applyFill="1" applyBorder="1" applyAlignment="1" applyProtection="1">
      <alignment horizontal="center" vertical="center" wrapText="1"/>
      <protection locked="0"/>
    </xf>
    <xf numFmtId="0" fontId="27" fillId="2" borderId="0" xfId="0" applyFont="1" applyFill="1" applyAlignment="1" applyProtection="1">
      <alignment horizontal="left" vertical="center"/>
      <protection locked="0"/>
    </xf>
    <xf numFmtId="2" fontId="30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>
      <alignment vertical="center"/>
    </xf>
    <xf numFmtId="0" fontId="36" fillId="2" borderId="6" xfId="0" applyFont="1" applyFill="1" applyBorder="1"/>
    <xf numFmtId="0" fontId="11" fillId="2" borderId="7" xfId="0" applyFont="1" applyFill="1" applyBorder="1" applyAlignment="1">
      <alignment vertical="center"/>
    </xf>
    <xf numFmtId="0" fontId="36" fillId="2" borderId="7" xfId="0" applyFont="1" applyFill="1" applyBorder="1"/>
    <xf numFmtId="0" fontId="11" fillId="2" borderId="8" xfId="0" applyFont="1" applyFill="1" applyBorder="1" applyAlignment="1">
      <alignment vertical="center"/>
    </xf>
    <xf numFmtId="0" fontId="36" fillId="2" borderId="8" xfId="0" applyFont="1" applyFill="1" applyBorder="1"/>
    <xf numFmtId="0" fontId="11" fillId="2" borderId="0" xfId="0" applyFont="1" applyFill="1" applyAlignment="1">
      <alignment vertical="center"/>
    </xf>
    <xf numFmtId="0" fontId="34" fillId="2" borderId="0" xfId="0" applyFont="1" applyFill="1" applyAlignment="1" applyProtection="1">
      <alignment horizontal="left" vertical="center"/>
      <protection locked="0"/>
    </xf>
    <xf numFmtId="0" fontId="33" fillId="2" borderId="8" xfId="0" applyFont="1" applyFill="1" applyBorder="1"/>
    <xf numFmtId="0" fontId="33" fillId="2" borderId="9" xfId="0" applyFont="1" applyFill="1" applyBorder="1"/>
    <xf numFmtId="0" fontId="33" fillId="2" borderId="1" xfId="0" applyFont="1" applyFill="1" applyBorder="1"/>
    <xf numFmtId="0" fontId="33" fillId="2" borderId="0" xfId="0" applyFont="1" applyFill="1"/>
    <xf numFmtId="0" fontId="33" fillId="4" borderId="6" xfId="0" applyFont="1" applyFill="1" applyBorder="1" applyAlignment="1">
      <alignment horizontal="left" vertical="center"/>
    </xf>
    <xf numFmtId="0" fontId="33" fillId="4" borderId="7" xfId="0" applyFont="1" applyFill="1" applyBorder="1" applyAlignment="1">
      <alignment horizontal="left" vertical="center"/>
    </xf>
    <xf numFmtId="0" fontId="33" fillId="4" borderId="36" xfId="0" applyFont="1" applyFill="1" applyBorder="1" applyAlignment="1">
      <alignment horizontal="left" vertical="center"/>
    </xf>
    <xf numFmtId="0" fontId="33" fillId="4" borderId="13" xfId="0" applyFont="1" applyFill="1" applyBorder="1" applyAlignment="1">
      <alignment horizontal="left" vertical="center"/>
    </xf>
    <xf numFmtId="0" fontId="33" fillId="4" borderId="8" xfId="0" applyFont="1" applyFill="1" applyBorder="1" applyAlignment="1">
      <alignment horizontal="left" vertical="center"/>
    </xf>
    <xf numFmtId="2" fontId="30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38" fillId="2" borderId="0" xfId="0" applyFont="1" applyFill="1" applyAlignment="1" applyProtection="1">
      <alignment horizontal="right" vertical="center" wrapText="1"/>
      <protection locked="0"/>
    </xf>
    <xf numFmtId="0" fontId="33" fillId="2" borderId="6" xfId="0" applyFont="1" applyFill="1" applyBorder="1" applyAlignment="1">
      <alignment horizontal="left" vertical="center"/>
    </xf>
    <xf numFmtId="0" fontId="33" fillId="2" borderId="7" xfId="0" applyFont="1" applyFill="1" applyBorder="1" applyAlignment="1">
      <alignment horizontal="left" vertical="center"/>
    </xf>
    <xf numFmtId="0" fontId="33" fillId="2" borderId="36" xfId="0" applyFont="1" applyFill="1" applyBorder="1" applyAlignment="1">
      <alignment horizontal="left" vertical="center"/>
    </xf>
    <xf numFmtId="0" fontId="33" fillId="2" borderId="8" xfId="0" applyFont="1" applyFill="1" applyBorder="1" applyAlignment="1">
      <alignment horizontal="left" vertical="center"/>
    </xf>
    <xf numFmtId="0" fontId="33" fillId="2" borderId="0" xfId="0" applyFont="1" applyFill="1" applyProtection="1">
      <protection locked="0"/>
    </xf>
    <xf numFmtId="0" fontId="31" fillId="2" borderId="0" xfId="0" applyFont="1" applyFill="1" applyAlignment="1" applyProtection="1">
      <alignment horizontal="center" vertical="center"/>
      <protection locked="0"/>
    </xf>
    <xf numFmtId="0" fontId="11" fillId="2" borderId="6" xfId="0" applyFont="1" applyFill="1" applyBorder="1" applyAlignment="1">
      <alignment vertical="center"/>
    </xf>
    <xf numFmtId="0" fontId="30" fillId="2" borderId="60" xfId="0" applyFont="1" applyFill="1" applyBorder="1" applyAlignment="1" applyProtection="1">
      <alignment horizontal="left" vertical="center" wrapText="1"/>
      <protection locked="0"/>
    </xf>
    <xf numFmtId="0" fontId="30" fillId="2" borderId="67" xfId="0" applyFont="1" applyFill="1" applyBorder="1" applyAlignment="1" applyProtection="1">
      <alignment vertical="center" wrapText="1"/>
      <protection locked="0"/>
    </xf>
    <xf numFmtId="0" fontId="33" fillId="2" borderId="6" xfId="0" applyFont="1" applyFill="1" applyBorder="1" applyAlignment="1">
      <alignment vertical="center"/>
    </xf>
    <xf numFmtId="0" fontId="33" fillId="2" borderId="8" xfId="0" applyFont="1" applyFill="1" applyBorder="1" applyAlignment="1">
      <alignment vertical="center"/>
    </xf>
    <xf numFmtId="0" fontId="33" fillId="2" borderId="7" xfId="0" applyFont="1" applyFill="1" applyBorder="1" applyAlignment="1">
      <alignment vertical="center"/>
    </xf>
    <xf numFmtId="0" fontId="23" fillId="2" borderId="0" xfId="0" applyFont="1" applyFill="1" applyAlignment="1" applyProtection="1">
      <alignment horizontal="left" vertical="top"/>
      <protection locked="0"/>
    </xf>
    <xf numFmtId="0" fontId="30" fillId="2" borderId="60" xfId="0" applyFont="1" applyFill="1" applyBorder="1" applyAlignment="1" applyProtection="1">
      <alignment vertical="center" wrapText="1"/>
      <protection locked="0"/>
    </xf>
    <xf numFmtId="0" fontId="33" fillId="2" borderId="64" xfId="0" applyFont="1" applyFill="1" applyBorder="1" applyAlignment="1">
      <alignment horizontal="center" vertical="center"/>
    </xf>
    <xf numFmtId="2" fontId="33" fillId="2" borderId="64" xfId="0" applyNumberFormat="1" applyFont="1" applyFill="1" applyBorder="1" applyAlignment="1">
      <alignment horizontal="center" vertical="center"/>
    </xf>
    <xf numFmtId="2" fontId="33" fillId="2" borderId="0" xfId="0" applyNumberFormat="1" applyFont="1" applyFill="1" applyAlignment="1">
      <alignment horizontal="center" vertical="center"/>
    </xf>
    <xf numFmtId="0" fontId="41" fillId="2" borderId="0" xfId="11" applyFont="1" applyFill="1" applyBorder="1" applyAlignment="1" applyProtection="1">
      <alignment horizontal="left" vertical="center" wrapText="1"/>
      <protection locked="0"/>
    </xf>
    <xf numFmtId="0" fontId="31" fillId="2" borderId="0" xfId="0" applyFont="1" applyFill="1"/>
    <xf numFmtId="0" fontId="31" fillId="0" borderId="0" xfId="0" applyFont="1"/>
    <xf numFmtId="0" fontId="42" fillId="2" borderId="0" xfId="0" applyFont="1" applyFill="1"/>
    <xf numFmtId="0" fontId="39" fillId="2" borderId="0" xfId="0" applyFont="1" applyFill="1" applyAlignment="1">
      <alignment horizontal="center" vertical="center"/>
    </xf>
    <xf numFmtId="0" fontId="39" fillId="2" borderId="9" xfId="0" applyFont="1" applyFill="1" applyBorder="1"/>
    <xf numFmtId="0" fontId="39" fillId="2" borderId="1" xfId="0" applyFont="1" applyFill="1" applyBorder="1"/>
    <xf numFmtId="0" fontId="39" fillId="2" borderId="1" xfId="0" applyFont="1" applyFill="1" applyBorder="1" applyAlignment="1">
      <alignment horizontal="center"/>
    </xf>
    <xf numFmtId="0" fontId="39" fillId="2" borderId="11" xfId="0" applyFont="1" applyFill="1" applyBorder="1" applyAlignment="1">
      <alignment horizontal="center"/>
    </xf>
    <xf numFmtId="0" fontId="39" fillId="2" borderId="68" xfId="0" applyFont="1" applyFill="1" applyBorder="1" applyAlignment="1">
      <alignment horizontal="center"/>
    </xf>
    <xf numFmtId="0" fontId="39" fillId="2" borderId="67" xfId="0" applyFont="1" applyFill="1" applyBorder="1" applyAlignment="1">
      <alignment horizontal="center"/>
    </xf>
    <xf numFmtId="0" fontId="39" fillId="2" borderId="0" xfId="0" applyFont="1" applyFill="1" applyAlignment="1">
      <alignment horizontal="center"/>
    </xf>
    <xf numFmtId="0" fontId="33" fillId="2" borderId="70" xfId="0" applyFont="1" applyFill="1" applyBorder="1"/>
    <xf numFmtId="0" fontId="33" fillId="2" borderId="33" xfId="0" applyFont="1" applyFill="1" applyBorder="1"/>
    <xf numFmtId="0" fontId="33" fillId="2" borderId="0" xfId="0" applyFont="1" applyFill="1" applyAlignment="1">
      <alignment horizontal="center" vertical="center"/>
    </xf>
    <xf numFmtId="0" fontId="33" fillId="2" borderId="34" xfId="0" applyFont="1" applyFill="1" applyBorder="1"/>
    <xf numFmtId="0" fontId="33" fillId="2" borderId="9" xfId="0" applyFont="1" applyFill="1" applyBorder="1" applyAlignment="1">
      <alignment horizontal="center" vertical="center"/>
    </xf>
    <xf numFmtId="0" fontId="33" fillId="2" borderId="58" xfId="0" applyFont="1" applyFill="1" applyBorder="1"/>
    <xf numFmtId="0" fontId="33" fillId="2" borderId="47" xfId="0" applyFont="1" applyFill="1" applyBorder="1"/>
    <xf numFmtId="0" fontId="33" fillId="2" borderId="6" xfId="0" applyFont="1" applyFill="1" applyBorder="1"/>
    <xf numFmtId="0" fontId="33" fillId="2" borderId="7" xfId="0" applyFont="1" applyFill="1" applyBorder="1"/>
    <xf numFmtId="0" fontId="33" fillId="2" borderId="1" xfId="0" applyFont="1" applyFill="1" applyBorder="1" applyAlignment="1">
      <alignment horizontal="center" vertical="center"/>
    </xf>
    <xf numFmtId="2" fontId="33" fillId="2" borderId="4" xfId="0" applyNumberFormat="1" applyFont="1" applyFill="1" applyBorder="1" applyAlignment="1">
      <alignment horizontal="center" vertical="center"/>
    </xf>
    <xf numFmtId="2" fontId="33" fillId="2" borderId="5" xfId="0" applyNumberFormat="1" applyFont="1" applyFill="1" applyBorder="1" applyAlignment="1">
      <alignment horizontal="center" vertical="center"/>
    </xf>
    <xf numFmtId="0" fontId="33" fillId="2" borderId="59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2" fontId="33" fillId="2" borderId="2" xfId="0" applyNumberFormat="1" applyFont="1" applyFill="1" applyBorder="1" applyAlignment="1">
      <alignment horizontal="center" vertical="center"/>
    </xf>
    <xf numFmtId="0" fontId="23" fillId="2" borderId="0" xfId="0" applyFont="1" applyFill="1" applyAlignment="1" applyProtection="1">
      <alignment horizontal="left" vertical="center"/>
      <protection locked="0"/>
    </xf>
    <xf numFmtId="0" fontId="33" fillId="2" borderId="2" xfId="0" applyFont="1" applyFill="1" applyBorder="1" applyAlignment="1">
      <alignment horizontal="center" vertical="center"/>
    </xf>
    <xf numFmtId="0" fontId="33" fillId="2" borderId="3" xfId="0" applyFont="1" applyFill="1" applyBorder="1" applyAlignment="1">
      <alignment horizontal="center" vertical="center"/>
    </xf>
    <xf numFmtId="2" fontId="33" fillId="2" borderId="68" xfId="0" applyNumberFormat="1" applyFont="1" applyFill="1" applyBorder="1" applyAlignment="1">
      <alignment horizontal="center" vertical="center"/>
    </xf>
    <xf numFmtId="2" fontId="33" fillId="2" borderId="19" xfId="0" applyNumberFormat="1" applyFont="1" applyFill="1" applyBorder="1" applyAlignment="1">
      <alignment horizontal="center" vertical="center"/>
    </xf>
    <xf numFmtId="2" fontId="33" fillId="0" borderId="26" xfId="0" applyNumberFormat="1" applyFont="1" applyBorder="1" applyAlignment="1">
      <alignment horizontal="center" vertical="center"/>
    </xf>
    <xf numFmtId="0" fontId="39" fillId="2" borderId="0" xfId="0" applyFont="1" applyFill="1"/>
    <xf numFmtId="0" fontId="39" fillId="0" borderId="4" xfId="0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3" fillId="2" borderId="25" xfId="0" applyFont="1" applyFill="1" applyBorder="1" applyAlignment="1">
      <alignment horizontal="center" vertical="center"/>
    </xf>
    <xf numFmtId="2" fontId="33" fillId="2" borderId="72" xfId="0" applyNumberFormat="1" applyFont="1" applyFill="1" applyBorder="1" applyAlignment="1">
      <alignment horizontal="center" vertical="center"/>
    </xf>
    <xf numFmtId="0" fontId="33" fillId="2" borderId="51" xfId="0" applyFont="1" applyFill="1" applyBorder="1" applyAlignment="1">
      <alignment horizontal="center" vertical="center"/>
    </xf>
    <xf numFmtId="0" fontId="33" fillId="2" borderId="33" xfId="0" applyFont="1" applyFill="1" applyBorder="1" applyAlignment="1">
      <alignment horizontal="center" vertical="center"/>
    </xf>
    <xf numFmtId="2" fontId="33" fillId="2" borderId="79" xfId="0" applyNumberFormat="1" applyFont="1" applyFill="1" applyBorder="1" applyAlignment="1">
      <alignment horizontal="center" vertical="center"/>
    </xf>
    <xf numFmtId="2" fontId="33" fillId="2" borderId="20" xfId="0" applyNumberFormat="1" applyFont="1" applyFill="1" applyBorder="1" applyAlignment="1">
      <alignment horizontal="center" vertical="center"/>
    </xf>
    <xf numFmtId="0" fontId="33" fillId="2" borderId="27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/>
    </xf>
    <xf numFmtId="0" fontId="39" fillId="2" borderId="2" xfId="0" applyFont="1" applyFill="1" applyBorder="1" applyAlignment="1">
      <alignment horizontal="center"/>
    </xf>
    <xf numFmtId="0" fontId="39" fillId="2" borderId="31" xfId="0" applyFont="1" applyFill="1" applyBorder="1" applyAlignment="1">
      <alignment horizontal="center"/>
    </xf>
    <xf numFmtId="0" fontId="33" fillId="2" borderId="9" xfId="0" applyFont="1" applyFill="1" applyBorder="1" applyAlignment="1">
      <alignment horizontal="left"/>
    </xf>
    <xf numFmtId="0" fontId="33" fillId="2" borderId="36" xfId="0" applyFont="1" applyFill="1" applyBorder="1"/>
    <xf numFmtId="0" fontId="33" fillId="2" borderId="8" xfId="0" applyFont="1" applyFill="1" applyBorder="1" applyAlignment="1">
      <alignment horizontal="left"/>
    </xf>
    <xf numFmtId="0" fontId="33" fillId="0" borderId="26" xfId="0" applyFont="1" applyBorder="1" applyAlignment="1">
      <alignment horizontal="center" vertical="center"/>
    </xf>
    <xf numFmtId="0" fontId="33" fillId="2" borderId="0" xfId="0" applyFont="1" applyFill="1" applyAlignment="1">
      <alignment horizontal="center" vertical="center" wrapText="1"/>
    </xf>
    <xf numFmtId="2" fontId="33" fillId="0" borderId="77" xfId="0" applyNumberFormat="1" applyFont="1" applyBorder="1" applyAlignment="1">
      <alignment horizontal="center"/>
    </xf>
    <xf numFmtId="2" fontId="33" fillId="0" borderId="5" xfId="0" applyNumberFormat="1" applyFont="1" applyBorder="1" applyAlignment="1">
      <alignment horizontal="center"/>
    </xf>
    <xf numFmtId="0" fontId="33" fillId="2" borderId="18" xfId="0" applyFont="1" applyFill="1" applyBorder="1" applyAlignment="1">
      <alignment horizontal="center"/>
    </xf>
    <xf numFmtId="2" fontId="33" fillId="2" borderId="19" xfId="0" applyNumberFormat="1" applyFont="1" applyFill="1" applyBorder="1" applyAlignment="1">
      <alignment horizontal="center"/>
    </xf>
    <xf numFmtId="2" fontId="33" fillId="0" borderId="47" xfId="0" applyNumberFormat="1" applyFont="1" applyBorder="1" applyAlignment="1">
      <alignment horizontal="center"/>
    </xf>
    <xf numFmtId="2" fontId="33" fillId="0" borderId="20" xfId="0" applyNumberFormat="1" applyFont="1" applyBorder="1" applyAlignment="1">
      <alignment horizontal="center"/>
    </xf>
    <xf numFmtId="0" fontId="44" fillId="2" borderId="0" xfId="10" applyFont="1" applyFill="1" applyProtection="1">
      <protection locked="0"/>
    </xf>
    <xf numFmtId="0" fontId="45" fillId="2" borderId="0" xfId="10" applyFont="1" applyFill="1" applyAlignment="1" applyProtection="1">
      <alignment horizontal="center"/>
      <protection locked="0"/>
    </xf>
    <xf numFmtId="2" fontId="45" fillId="2" borderId="0" xfId="10" applyNumberFormat="1" applyFont="1" applyFill="1" applyAlignment="1" applyProtection="1">
      <alignment horizontal="center"/>
      <protection locked="0"/>
    </xf>
    <xf numFmtId="0" fontId="30" fillId="2" borderId="59" xfId="0" applyFont="1" applyFill="1" applyBorder="1" applyAlignment="1" applyProtection="1">
      <alignment vertical="center" wrapText="1"/>
      <protection locked="0"/>
    </xf>
    <xf numFmtId="0" fontId="46" fillId="2" borderId="1" xfId="10" applyFont="1" applyFill="1" applyBorder="1" applyAlignment="1" applyProtection="1">
      <alignment horizontal="center" vertical="center"/>
      <protection locked="0"/>
    </xf>
    <xf numFmtId="2" fontId="31" fillId="2" borderId="0" xfId="0" applyNumberFormat="1" applyFont="1" applyFill="1" applyAlignment="1" applyProtection="1">
      <alignment horizontal="center" vertical="center"/>
      <protection locked="0"/>
    </xf>
    <xf numFmtId="0" fontId="33" fillId="2" borderId="10" xfId="0" applyFont="1" applyFill="1" applyBorder="1" applyAlignment="1" applyProtection="1">
      <alignment horizontal="center" vertical="center"/>
      <protection locked="0"/>
    </xf>
    <xf numFmtId="2" fontId="33" fillId="2" borderId="11" xfId="0" applyNumberFormat="1" applyFont="1" applyFill="1" applyBorder="1" applyAlignment="1" applyProtection="1">
      <alignment horizontal="center" vertical="center"/>
      <protection locked="0"/>
    </xf>
    <xf numFmtId="0" fontId="33" fillId="2" borderId="0" xfId="0" applyFont="1" applyFill="1" applyAlignment="1" applyProtection="1">
      <alignment horizontal="center" vertical="center"/>
      <protection locked="0"/>
    </xf>
    <xf numFmtId="2" fontId="33" fillId="2" borderId="12" xfId="0" applyNumberFormat="1" applyFont="1" applyFill="1" applyBorder="1" applyAlignment="1" applyProtection="1">
      <alignment horizontal="center" vertical="center"/>
      <protection locked="0"/>
    </xf>
    <xf numFmtId="2" fontId="33" fillId="2" borderId="0" xfId="0" applyNumberFormat="1" applyFont="1" applyFill="1" applyAlignment="1" applyProtection="1">
      <alignment horizontal="center" vertical="center"/>
      <protection locked="0"/>
    </xf>
    <xf numFmtId="0" fontId="31" fillId="2" borderId="64" xfId="0" applyFont="1" applyFill="1" applyBorder="1" applyAlignment="1" applyProtection="1">
      <alignment horizontal="center" vertical="center"/>
      <protection locked="0"/>
    </xf>
    <xf numFmtId="0" fontId="47" fillId="2" borderId="0" xfId="0" applyFont="1" applyFill="1" applyAlignment="1" applyProtection="1">
      <alignment horizontal="left" vertical="center"/>
      <protection locked="0"/>
    </xf>
    <xf numFmtId="0" fontId="33" fillId="2" borderId="0" xfId="0" applyFont="1" applyFill="1" applyAlignment="1" applyProtection="1">
      <alignment vertical="center" wrapText="1"/>
      <protection locked="0"/>
    </xf>
    <xf numFmtId="2" fontId="33" fillId="2" borderId="64" xfId="0" applyNumberFormat="1" applyFont="1" applyFill="1" applyBorder="1" applyAlignment="1" applyProtection="1">
      <alignment horizontal="center" vertical="center"/>
      <protection locked="0"/>
    </xf>
    <xf numFmtId="0" fontId="23" fillId="2" borderId="0" xfId="0" applyFont="1" applyFill="1" applyAlignment="1" applyProtection="1">
      <alignment horizontal="center" vertical="center" wrapText="1"/>
      <protection locked="0"/>
    </xf>
    <xf numFmtId="0" fontId="33" fillId="4" borderId="0" xfId="0" applyFont="1" applyFill="1" applyAlignment="1">
      <alignment horizontal="center" vertical="center"/>
    </xf>
    <xf numFmtId="0" fontId="33" fillId="4" borderId="0" xfId="0" applyFont="1" applyFill="1" applyAlignment="1">
      <alignment horizontal="left" vertical="center"/>
    </xf>
    <xf numFmtId="0" fontId="33" fillId="2" borderId="64" xfId="0" applyFont="1" applyFill="1" applyBorder="1" applyAlignment="1" applyProtection="1">
      <alignment horizontal="center" vertical="center"/>
      <protection locked="0"/>
    </xf>
    <xf numFmtId="2" fontId="33" fillId="2" borderId="59" xfId="0" applyNumberFormat="1" applyFont="1" applyFill="1" applyBorder="1" applyAlignment="1" applyProtection="1">
      <alignment horizontal="center" vertical="center"/>
      <protection locked="0"/>
    </xf>
    <xf numFmtId="0" fontId="30" fillId="2" borderId="31" xfId="0" applyFont="1" applyFill="1" applyBorder="1" applyAlignment="1" applyProtection="1">
      <alignment horizontal="center" vertical="center" wrapText="1"/>
      <protection locked="0"/>
    </xf>
    <xf numFmtId="0" fontId="33" fillId="2" borderId="6" xfId="0" applyFont="1" applyFill="1" applyBorder="1" applyAlignment="1" applyProtection="1">
      <alignment horizontal="left" vertical="center"/>
      <protection locked="0"/>
    </xf>
    <xf numFmtId="0" fontId="31" fillId="2" borderId="21" xfId="0" applyFont="1" applyFill="1" applyBorder="1" applyAlignment="1">
      <alignment horizontal="center"/>
    </xf>
    <xf numFmtId="49" fontId="31" fillId="2" borderId="22" xfId="0" applyNumberFormat="1" applyFont="1" applyFill="1" applyBorder="1" applyAlignment="1">
      <alignment horizontal="center"/>
    </xf>
    <xf numFmtId="49" fontId="32" fillId="2" borderId="22" xfId="0" applyNumberFormat="1" applyFont="1" applyFill="1" applyBorder="1" applyAlignment="1">
      <alignment horizontal="center"/>
    </xf>
    <xf numFmtId="49" fontId="32" fillId="2" borderId="23" xfId="0" applyNumberFormat="1" applyFont="1" applyFill="1" applyBorder="1" applyAlignment="1">
      <alignment horizontal="center"/>
    </xf>
    <xf numFmtId="0" fontId="30" fillId="2" borderId="60" xfId="0" applyFont="1" applyFill="1" applyBorder="1" applyAlignment="1" applyProtection="1">
      <alignment horizontal="center" vertical="center" wrapText="1"/>
      <protection locked="0"/>
    </xf>
    <xf numFmtId="0" fontId="30" fillId="2" borderId="68" xfId="0" applyFont="1" applyFill="1" applyBorder="1" applyAlignment="1" applyProtection="1">
      <alignment horizontal="center" vertical="center" wrapText="1"/>
      <protection locked="0"/>
    </xf>
    <xf numFmtId="0" fontId="40" fillId="2" borderId="0" xfId="0" applyFont="1" applyFill="1" applyAlignment="1" applyProtection="1">
      <alignment horizontal="left" vertical="center"/>
      <protection locked="0"/>
    </xf>
    <xf numFmtId="0" fontId="33" fillId="2" borderId="13" xfId="0" applyFont="1" applyFill="1" applyBorder="1" applyProtection="1">
      <protection locked="0"/>
    </xf>
    <xf numFmtId="2" fontId="33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2" fontId="33" fillId="0" borderId="23" xfId="0" applyNumberFormat="1" applyFont="1" applyBorder="1" applyAlignment="1">
      <alignment horizontal="center" vertical="center"/>
    </xf>
    <xf numFmtId="0" fontId="33" fillId="2" borderId="6" xfId="0" applyFont="1" applyFill="1" applyBorder="1" applyProtection="1">
      <protection locked="0"/>
    </xf>
    <xf numFmtId="0" fontId="33" fillId="0" borderId="16" xfId="0" applyFont="1" applyBorder="1" applyAlignment="1">
      <alignment horizontal="center" vertical="center"/>
    </xf>
    <xf numFmtId="2" fontId="33" fillId="0" borderId="17" xfId="0" applyNumberFormat="1" applyFont="1" applyBorder="1" applyAlignment="1">
      <alignment horizontal="center" vertical="center" wrapText="1"/>
    </xf>
    <xf numFmtId="2" fontId="33" fillId="2" borderId="0" xfId="0" applyNumberFormat="1" applyFont="1" applyFill="1" applyAlignment="1">
      <alignment horizontal="center" vertical="center" wrapText="1"/>
    </xf>
    <xf numFmtId="0" fontId="33" fillId="2" borderId="8" xfId="0" applyFont="1" applyFill="1" applyBorder="1" applyProtection="1">
      <protection locked="0"/>
    </xf>
    <xf numFmtId="0" fontId="33" fillId="2" borderId="24" xfId="0" applyFont="1" applyFill="1" applyBorder="1" applyAlignment="1" applyProtection="1">
      <alignment vertical="center"/>
      <protection locked="0"/>
    </xf>
    <xf numFmtId="2" fontId="33" fillId="0" borderId="27" xfId="0" applyNumberFormat="1" applyFont="1" applyBorder="1" applyAlignment="1">
      <alignment horizontal="center" vertical="center" wrapText="1"/>
    </xf>
    <xf numFmtId="0" fontId="24" fillId="2" borderId="63" xfId="0" applyFont="1" applyFill="1" applyBorder="1" applyAlignment="1" applyProtection="1">
      <alignment horizontal="right" vertical="center"/>
      <protection locked="0"/>
    </xf>
    <xf numFmtId="2" fontId="30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30" fillId="2" borderId="64" xfId="0" applyNumberFormat="1" applyFont="1" applyFill="1" applyBorder="1" applyAlignment="1" applyProtection="1">
      <alignment horizontal="center" vertical="center" wrapText="1"/>
      <protection locked="0"/>
    </xf>
    <xf numFmtId="2" fontId="30" fillId="2" borderId="65" xfId="0" applyNumberFormat="1" applyFont="1" applyFill="1" applyBorder="1" applyAlignment="1" applyProtection="1">
      <alignment horizontal="center" vertical="center" wrapText="1"/>
      <protection locked="0"/>
    </xf>
    <xf numFmtId="2" fontId="30" fillId="2" borderId="68" xfId="0" applyNumberFormat="1" applyFont="1" applyFill="1" applyBorder="1" applyAlignment="1" applyProtection="1">
      <alignment horizontal="center" vertical="center" wrapText="1"/>
      <protection locked="0"/>
    </xf>
    <xf numFmtId="0" fontId="34" fillId="2" borderId="0" xfId="0" applyFont="1" applyFill="1" applyAlignment="1" applyProtection="1">
      <alignment horizontal="center" vertical="center"/>
      <protection locked="0"/>
    </xf>
    <xf numFmtId="2" fontId="30" fillId="0" borderId="4" xfId="0" applyNumberFormat="1" applyFont="1" applyBorder="1" applyAlignment="1" applyProtection="1">
      <alignment horizontal="center" vertical="center" wrapText="1"/>
      <protection locked="0"/>
    </xf>
    <xf numFmtId="2" fontId="30" fillId="0" borderId="5" xfId="0" applyNumberFormat="1" applyFont="1" applyBorder="1" applyAlignment="1" applyProtection="1">
      <alignment horizontal="center" vertical="center" wrapText="1"/>
      <protection locked="0"/>
    </xf>
    <xf numFmtId="0" fontId="30" fillId="2" borderId="37" xfId="0" applyFont="1" applyFill="1" applyBorder="1" applyAlignment="1" applyProtection="1">
      <alignment horizontal="center" vertical="center" wrapText="1"/>
      <protection locked="0"/>
    </xf>
    <xf numFmtId="0" fontId="33" fillId="2" borderId="1" xfId="0" applyFont="1" applyFill="1" applyBorder="1" applyAlignment="1">
      <alignment horizontal="left"/>
    </xf>
    <xf numFmtId="0" fontId="33" fillId="2" borderId="1" xfId="0" applyFont="1" applyFill="1" applyBorder="1" applyAlignment="1" applyProtection="1">
      <alignment horizontal="center" vertical="center"/>
      <protection locked="0"/>
    </xf>
    <xf numFmtId="0" fontId="33" fillId="2" borderId="62" xfId="0" applyFont="1" applyFill="1" applyBorder="1" applyAlignment="1" applyProtection="1">
      <alignment horizontal="left" vertical="center"/>
      <protection locked="0"/>
    </xf>
    <xf numFmtId="0" fontId="33" fillId="2" borderId="0" xfId="0" applyFont="1" applyFill="1" applyAlignment="1" applyProtection="1">
      <alignment vertical="center"/>
      <protection locked="0"/>
    </xf>
    <xf numFmtId="0" fontId="48" fillId="2" borderId="41" xfId="0" applyFont="1" applyFill="1" applyBorder="1"/>
    <xf numFmtId="0" fontId="48" fillId="2" borderId="47" xfId="0" applyFont="1" applyFill="1" applyBorder="1"/>
    <xf numFmtId="0" fontId="48" fillId="2" borderId="42" xfId="0" applyFont="1" applyFill="1" applyBorder="1"/>
    <xf numFmtId="0" fontId="48" fillId="2" borderId="6" xfId="0" applyFont="1" applyFill="1" applyBorder="1"/>
    <xf numFmtId="0" fontId="48" fillId="2" borderId="7" xfId="0" applyFont="1" applyFill="1" applyBorder="1"/>
    <xf numFmtId="0" fontId="48" fillId="2" borderId="62" xfId="0" applyFont="1" applyFill="1" applyBorder="1"/>
    <xf numFmtId="0" fontId="48" fillId="2" borderId="8" xfId="0" applyFont="1" applyFill="1" applyBorder="1"/>
    <xf numFmtId="0" fontId="48" fillId="2" borderId="0" xfId="0" applyFont="1" applyFill="1"/>
    <xf numFmtId="0" fontId="48" fillId="2" borderId="36" xfId="0" applyFont="1" applyFill="1" applyBorder="1"/>
    <xf numFmtId="0" fontId="48" fillId="2" borderId="43" xfId="0" applyFont="1" applyFill="1" applyBorder="1"/>
    <xf numFmtId="0" fontId="48" fillId="2" borderId="13" xfId="0" applyFont="1" applyFill="1" applyBorder="1"/>
    <xf numFmtId="0" fontId="48" fillId="2" borderId="58" xfId="0" applyFont="1" applyFill="1" applyBorder="1"/>
    <xf numFmtId="0" fontId="39" fillId="2" borderId="9" xfId="0" applyFont="1" applyFill="1" applyBorder="1" applyAlignment="1" applyProtection="1">
      <alignment horizontal="left" vertical="center" wrapText="1"/>
      <protection locked="0"/>
    </xf>
    <xf numFmtId="0" fontId="23" fillId="2" borderId="67" xfId="0" applyFont="1" applyFill="1" applyBorder="1" applyAlignment="1" applyProtection="1">
      <alignment horizontal="left" vertical="center"/>
      <protection locked="0"/>
    </xf>
    <xf numFmtId="0" fontId="33" fillId="2" borderId="24" xfId="0" applyFont="1" applyFill="1" applyBorder="1" applyAlignment="1" applyProtection="1">
      <alignment horizontal="left" vertical="center"/>
      <protection locked="0"/>
    </xf>
    <xf numFmtId="0" fontId="33" fillId="2" borderId="6" xfId="0" applyFont="1" applyFill="1" applyBorder="1" applyAlignment="1" applyProtection="1">
      <alignment vertical="center"/>
      <protection locked="0"/>
    </xf>
    <xf numFmtId="0" fontId="33" fillId="2" borderId="7" xfId="0" applyFont="1" applyFill="1" applyBorder="1" applyAlignment="1" applyProtection="1">
      <alignment vertical="center"/>
      <protection locked="0"/>
    </xf>
    <xf numFmtId="0" fontId="33" fillId="2" borderId="41" xfId="0" applyFont="1" applyFill="1" applyBorder="1"/>
    <xf numFmtId="0" fontId="23" fillId="2" borderId="59" xfId="0" applyFont="1" applyFill="1" applyBorder="1" applyAlignment="1" applyProtection="1">
      <alignment vertical="center"/>
      <protection locked="0"/>
    </xf>
    <xf numFmtId="49" fontId="31" fillId="2" borderId="23" xfId="0" applyNumberFormat="1" applyFont="1" applyFill="1" applyBorder="1" applyAlignment="1">
      <alignment horizontal="center"/>
    </xf>
    <xf numFmtId="0" fontId="23" fillId="2" borderId="64" xfId="0" applyFont="1" applyFill="1" applyBorder="1" applyAlignment="1" applyProtection="1">
      <alignment vertical="center"/>
      <protection locked="0"/>
    </xf>
    <xf numFmtId="0" fontId="33" fillId="2" borderId="9" xfId="0" applyFont="1" applyFill="1" applyBorder="1" applyAlignment="1" applyProtection="1">
      <alignment horizontal="left" vertical="center"/>
      <protection locked="0"/>
    </xf>
    <xf numFmtId="0" fontId="33" fillId="2" borderId="7" xfId="0" applyFont="1" applyFill="1" applyBorder="1" applyAlignment="1" applyProtection="1">
      <alignment horizontal="left" vertical="center"/>
      <protection locked="0"/>
    </xf>
    <xf numFmtId="0" fontId="33" fillId="2" borderId="1" xfId="0" applyFont="1" applyFill="1" applyBorder="1" applyAlignment="1" applyProtection="1">
      <alignment horizontal="left" vertical="center"/>
      <protection locked="0"/>
    </xf>
    <xf numFmtId="165" fontId="8" fillId="2" borderId="1" xfId="0" applyNumberFormat="1" applyFont="1" applyFill="1" applyBorder="1" applyAlignment="1" applyProtection="1">
      <alignment horizontal="center" vertical="center"/>
      <protection locked="0"/>
    </xf>
    <xf numFmtId="165" fontId="8" fillId="2" borderId="8" xfId="0" applyNumberFormat="1" applyFont="1" applyFill="1" applyBorder="1" applyAlignment="1" applyProtection="1">
      <alignment horizontal="center" vertical="center"/>
      <protection locked="0"/>
    </xf>
    <xf numFmtId="0" fontId="33" fillId="2" borderId="32" xfId="0" applyFont="1" applyFill="1" applyBorder="1"/>
    <xf numFmtId="0" fontId="33" fillId="2" borderId="43" xfId="0" applyFont="1" applyFill="1" applyBorder="1"/>
    <xf numFmtId="43" fontId="34" fillId="2" borderId="0" xfId="1" applyFont="1" applyFill="1" applyAlignment="1" applyProtection="1">
      <alignment horizontal="center" vertical="center"/>
      <protection locked="0"/>
    </xf>
    <xf numFmtId="0" fontId="30" fillId="2" borderId="2" xfId="0" applyFont="1" applyFill="1" applyBorder="1" applyAlignment="1" applyProtection="1">
      <alignment horizontal="center" vertical="center" wrapText="1"/>
      <protection locked="0"/>
    </xf>
    <xf numFmtId="0" fontId="31" fillId="2" borderId="0" xfId="0" applyFont="1" applyFill="1" applyAlignment="1">
      <alignment horizontal="center"/>
    </xf>
    <xf numFmtId="0" fontId="31" fillId="4" borderId="0" xfId="0" applyFont="1" applyFill="1" applyAlignment="1">
      <alignment horizontal="center" vertical="center"/>
    </xf>
    <xf numFmtId="0" fontId="11" fillId="2" borderId="36" xfId="0" applyFont="1" applyFill="1" applyBorder="1" applyAlignment="1">
      <alignment vertical="center"/>
    </xf>
    <xf numFmtId="0" fontId="36" fillId="2" borderId="36" xfId="0" applyFont="1" applyFill="1" applyBorder="1"/>
    <xf numFmtId="0" fontId="29" fillId="2" borderId="31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/>
    <xf numFmtId="0" fontId="8" fillId="2" borderId="24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/>
    <xf numFmtId="0" fontId="8" fillId="2" borderId="6" xfId="0" applyFont="1" applyFill="1" applyBorder="1" applyAlignment="1" applyProtection="1">
      <alignment vertical="center"/>
      <protection locked="0"/>
    </xf>
    <xf numFmtId="0" fontId="8" fillId="2" borderId="7" xfId="0" applyFont="1" applyFill="1" applyBorder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8" fillId="2" borderId="32" xfId="0" applyFont="1" applyFill="1" applyBorder="1" applyAlignment="1" applyProtection="1">
      <alignment horizontal="left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8" fillId="2" borderId="13" xfId="0" applyFont="1" applyFill="1" applyBorder="1" applyAlignment="1" applyProtection="1">
      <alignment vertical="center"/>
      <protection locked="0"/>
    </xf>
    <xf numFmtId="0" fontId="8" fillId="2" borderId="33" xfId="0" applyFont="1" applyFill="1" applyBorder="1" applyAlignment="1" applyProtection="1">
      <alignment horizontal="left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0" fontId="8" fillId="2" borderId="34" xfId="0" applyFont="1" applyFill="1" applyBorder="1" applyAlignment="1" applyProtection="1">
      <alignment horizontal="left" vertical="center"/>
      <protection locked="0"/>
    </xf>
    <xf numFmtId="0" fontId="8" fillId="2" borderId="6" xfId="0" applyFont="1" applyFill="1" applyBorder="1" applyAlignment="1" applyProtection="1">
      <alignment horizontal="left" vertical="center"/>
      <protection locked="0"/>
    </xf>
    <xf numFmtId="0" fontId="8" fillId="2" borderId="7" xfId="0" applyFont="1" applyFill="1" applyBorder="1" applyAlignment="1" applyProtection="1">
      <alignment horizontal="left" vertical="center"/>
      <protection locked="0"/>
    </xf>
    <xf numFmtId="0" fontId="8" fillId="2" borderId="8" xfId="0" applyFont="1" applyFill="1" applyBorder="1" applyAlignment="1" applyProtection="1">
      <alignment horizontal="left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8" fillId="2" borderId="31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8" fillId="2" borderId="13" xfId="0" applyFont="1" applyFill="1" applyBorder="1" applyAlignment="1">
      <alignment horizontal="left" vertical="top"/>
    </xf>
    <xf numFmtId="0" fontId="8" fillId="2" borderId="7" xfId="0" applyFont="1" applyFill="1" applyBorder="1" applyAlignment="1">
      <alignment horizontal="left" vertical="top"/>
    </xf>
    <xf numFmtId="0" fontId="8" fillId="2" borderId="8" xfId="0" applyFont="1" applyFill="1" applyBorder="1" applyAlignment="1">
      <alignment horizontal="left" vertical="top"/>
    </xf>
    <xf numFmtId="0" fontId="8" fillId="2" borderId="24" xfId="0" applyFont="1" applyFill="1" applyBorder="1" applyAlignment="1" applyProtection="1">
      <alignment horizontal="left" vertical="center"/>
      <protection locked="0"/>
    </xf>
    <xf numFmtId="0" fontId="8" fillId="2" borderId="24" xfId="0" applyFont="1" applyFill="1" applyBorder="1" applyAlignment="1" applyProtection="1">
      <alignment vertical="center"/>
      <protection locked="0"/>
    </xf>
    <xf numFmtId="43" fontId="8" fillId="2" borderId="0" xfId="1" applyFont="1" applyFill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2" borderId="36" xfId="0" applyFont="1" applyFill="1" applyBorder="1" applyAlignment="1" applyProtection="1">
      <alignment horizontal="left" vertical="center"/>
      <protection locked="0"/>
    </xf>
    <xf numFmtId="0" fontId="8" fillId="2" borderId="36" xfId="0" applyFont="1" applyFill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0" fontId="8" fillId="2" borderId="62" xfId="0" applyFont="1" applyFill="1" applyBorder="1" applyAlignment="1" applyProtection="1">
      <alignment vertical="center"/>
      <protection locked="0"/>
    </xf>
    <xf numFmtId="0" fontId="8" fillId="2" borderId="62" xfId="0" applyFont="1" applyFill="1" applyBorder="1" applyAlignment="1" applyProtection="1">
      <alignment horizontal="left" vertical="center"/>
      <protection locked="0"/>
    </xf>
    <xf numFmtId="0" fontId="8" fillId="2" borderId="64" xfId="0" applyFont="1" applyFill="1" applyBorder="1" applyAlignment="1" applyProtection="1">
      <alignment horizontal="center" vertical="center"/>
      <protection locked="0"/>
    </xf>
    <xf numFmtId="0" fontId="8" fillId="2" borderId="59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36" xfId="0" applyFont="1" applyFill="1" applyBorder="1" applyAlignment="1">
      <alignment horizontal="left" vertical="center"/>
    </xf>
    <xf numFmtId="0" fontId="8" fillId="2" borderId="13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8" fillId="2" borderId="49" xfId="0" applyFont="1" applyFill="1" applyBorder="1" applyAlignment="1" applyProtection="1">
      <alignment vertical="center"/>
      <protection locked="0"/>
    </xf>
    <xf numFmtId="0" fontId="8" fillId="2" borderId="75" xfId="0" applyFont="1" applyFill="1" applyBorder="1" applyAlignment="1" applyProtection="1">
      <alignment vertical="center"/>
      <protection locked="0"/>
    </xf>
    <xf numFmtId="0" fontId="8" fillId="2" borderId="51" xfId="0" applyFont="1" applyFill="1" applyBorder="1" applyAlignment="1" applyProtection="1">
      <alignment vertical="center"/>
      <protection locked="0"/>
    </xf>
    <xf numFmtId="0" fontId="8" fillId="2" borderId="63" xfId="0" applyFont="1" applyFill="1" applyBorder="1" applyAlignment="1" applyProtection="1">
      <alignment vertical="center"/>
      <protection locked="0"/>
    </xf>
    <xf numFmtId="0" fontId="8" fillId="2" borderId="68" xfId="0" applyFont="1" applyFill="1" applyBorder="1" applyAlignment="1" applyProtection="1">
      <alignment vertical="center"/>
      <protection locked="0"/>
    </xf>
    <xf numFmtId="0" fontId="8" fillId="2" borderId="53" xfId="0" applyFont="1" applyFill="1" applyBorder="1" applyAlignment="1" applyProtection="1">
      <alignment vertical="center"/>
      <protection locked="0"/>
    </xf>
    <xf numFmtId="0" fontId="8" fillId="2" borderId="49" xfId="0" applyFont="1" applyFill="1" applyBorder="1" applyAlignment="1" applyProtection="1">
      <alignment horizontal="left" vertical="center"/>
      <protection locked="0"/>
    </xf>
    <xf numFmtId="0" fontId="8" fillId="2" borderId="53" xfId="0" applyFont="1" applyFill="1" applyBorder="1" applyAlignment="1" applyProtection="1">
      <alignment horizontal="left" vertical="center"/>
      <protection locked="0"/>
    </xf>
    <xf numFmtId="0" fontId="8" fillId="2" borderId="9" xfId="0" applyFont="1" applyFill="1" applyBorder="1" applyAlignment="1" applyProtection="1">
      <alignment horizontal="left" vertical="center"/>
      <protection locked="0"/>
    </xf>
    <xf numFmtId="0" fontId="8" fillId="2" borderId="51" xfId="0" applyFont="1" applyFill="1" applyBorder="1" applyAlignment="1" applyProtection="1">
      <alignment horizontal="left" vertical="center"/>
      <protection locked="0"/>
    </xf>
    <xf numFmtId="0" fontId="8" fillId="2" borderId="13" xfId="0" applyFont="1" applyFill="1" applyBorder="1" applyAlignment="1" applyProtection="1">
      <alignment horizontal="left" vertical="center"/>
      <protection locked="0"/>
    </xf>
    <xf numFmtId="0" fontId="8" fillId="2" borderId="70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>
      <alignment horizontal="center" vertical="center"/>
    </xf>
    <xf numFmtId="0" fontId="8" fillId="2" borderId="24" xfId="0" applyFont="1" applyFill="1" applyBorder="1"/>
    <xf numFmtId="0" fontId="8" fillId="2" borderId="9" xfId="0" applyFont="1" applyFill="1" applyBorder="1"/>
    <xf numFmtId="0" fontId="8" fillId="2" borderId="9" xfId="0" applyFont="1" applyFill="1" applyBorder="1" applyAlignment="1">
      <alignment horizontal="center" vertical="center"/>
    </xf>
    <xf numFmtId="0" fontId="8" fillId="2" borderId="62" xfId="0" applyFont="1" applyFill="1" applyBorder="1"/>
    <xf numFmtId="0" fontId="8" fillId="2" borderId="7" xfId="0" applyFont="1" applyFill="1" applyBorder="1"/>
    <xf numFmtId="0" fontId="8" fillId="2" borderId="36" xfId="0" applyFont="1" applyFill="1" applyBorder="1"/>
    <xf numFmtId="0" fontId="8" fillId="2" borderId="8" xfId="0" applyFont="1" applyFill="1" applyBorder="1"/>
    <xf numFmtId="0" fontId="8" fillId="2" borderId="13" xfId="0" applyFont="1" applyFill="1" applyBorder="1"/>
    <xf numFmtId="0" fontId="8" fillId="2" borderId="0" xfId="0" applyFont="1" applyFill="1"/>
    <xf numFmtId="0" fontId="8" fillId="2" borderId="0" xfId="0" applyFont="1" applyFill="1" applyAlignment="1" applyProtection="1">
      <alignment horizontal="right" vertical="center"/>
      <protection locked="0"/>
    </xf>
    <xf numFmtId="0" fontId="8" fillId="2" borderId="41" xfId="0" applyFont="1" applyFill="1" applyBorder="1" applyAlignment="1" applyProtection="1">
      <alignment vertical="center"/>
      <protection locked="0"/>
    </xf>
    <xf numFmtId="0" fontId="8" fillId="2" borderId="47" xfId="0" applyFont="1" applyFill="1" applyBorder="1" applyAlignment="1" applyProtection="1">
      <alignment vertical="center"/>
      <protection locked="0"/>
    </xf>
    <xf numFmtId="0" fontId="8" fillId="2" borderId="36" xfId="0" applyFont="1" applyFill="1" applyBorder="1" applyAlignment="1" applyProtection="1">
      <alignment horizontal="center" vertical="center"/>
      <protection locked="0"/>
    </xf>
    <xf numFmtId="0" fontId="8" fillId="2" borderId="31" xfId="0" applyFont="1" applyFill="1" applyBorder="1" applyAlignment="1" applyProtection="1">
      <alignment vertical="center"/>
      <protection locked="0"/>
    </xf>
    <xf numFmtId="0" fontId="8" fillId="2" borderId="9" xfId="0" applyFont="1" applyFill="1" applyBorder="1" applyAlignment="1" applyProtection="1">
      <alignment vertical="center"/>
      <protection locked="0"/>
    </xf>
    <xf numFmtId="0" fontId="8" fillId="2" borderId="32" xfId="0" applyFont="1" applyFill="1" applyBorder="1" applyAlignment="1" applyProtection="1">
      <alignment vertical="center"/>
      <protection locked="0"/>
    </xf>
    <xf numFmtId="0" fontId="8" fillId="2" borderId="33" xfId="0" applyFont="1" applyFill="1" applyBorder="1" applyAlignment="1" applyProtection="1">
      <alignment vertical="center"/>
      <protection locked="0"/>
    </xf>
    <xf numFmtId="0" fontId="8" fillId="2" borderId="35" xfId="0" applyFont="1" applyFill="1" applyBorder="1" applyAlignment="1" applyProtection="1">
      <alignment vertical="center"/>
      <protection locked="0"/>
    </xf>
    <xf numFmtId="0" fontId="8" fillId="2" borderId="6" xfId="11" applyFont="1" applyFill="1" applyBorder="1" applyAlignment="1" applyProtection="1">
      <alignment horizontal="left" vertical="center" wrapText="1"/>
      <protection locked="0"/>
    </xf>
    <xf numFmtId="0" fontId="8" fillId="2" borderId="60" xfId="11" applyFont="1" applyFill="1" applyBorder="1" applyAlignment="1" applyProtection="1">
      <alignment horizontal="center" vertical="center" wrapText="1"/>
      <protection locked="0"/>
    </xf>
    <xf numFmtId="0" fontId="8" fillId="2" borderId="8" xfId="11" applyFont="1" applyFill="1" applyBorder="1" applyAlignment="1" applyProtection="1">
      <alignment horizontal="left" vertical="center" wrapText="1"/>
      <protection locked="0"/>
    </xf>
    <xf numFmtId="0" fontId="8" fillId="2" borderId="1" xfId="11" applyFont="1" applyFill="1" applyBorder="1" applyAlignment="1" applyProtection="1">
      <alignment horizontal="left" vertical="center" wrapText="1"/>
      <protection locked="0"/>
    </xf>
    <xf numFmtId="0" fontId="8" fillId="2" borderId="31" xfId="11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left" vertical="center" wrapText="1"/>
      <protection locked="0"/>
    </xf>
    <xf numFmtId="0" fontId="8" fillId="2" borderId="6" xfId="0" applyFont="1" applyFill="1" applyBorder="1" applyAlignment="1" applyProtection="1">
      <alignment vertical="center" wrapText="1"/>
      <protection locked="0"/>
    </xf>
    <xf numFmtId="0" fontId="8" fillId="2" borderId="7" xfId="11" applyFont="1" applyFill="1" applyBorder="1" applyAlignment="1" applyProtection="1">
      <alignment horizontal="left" vertical="center" wrapText="1"/>
      <protection locked="0"/>
    </xf>
    <xf numFmtId="0" fontId="8" fillId="2" borderId="36" xfId="11" applyFont="1" applyFill="1" applyBorder="1" applyAlignment="1" applyProtection="1">
      <alignment horizontal="left" vertical="center" wrapText="1"/>
      <protection locked="0"/>
    </xf>
    <xf numFmtId="0" fontId="8" fillId="2" borderId="0" xfId="11" applyFont="1" applyFill="1" applyBorder="1" applyAlignment="1" applyProtection="1">
      <alignment horizontal="center" vertical="center" wrapText="1"/>
      <protection locked="0"/>
    </xf>
    <xf numFmtId="0" fontId="8" fillId="2" borderId="34" xfId="0" applyFont="1" applyFill="1" applyBorder="1" applyAlignment="1" applyProtection="1">
      <alignment vertical="center"/>
      <protection locked="0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8" fillId="2" borderId="7" xfId="0" applyFont="1" applyFill="1" applyBorder="1" applyAlignment="1" applyProtection="1">
      <alignment vertical="center" wrapText="1"/>
      <protection locked="0"/>
    </xf>
    <xf numFmtId="0" fontId="8" fillId="2" borderId="13" xfId="11" applyFont="1" applyFill="1" applyBorder="1" applyAlignment="1" applyProtection="1">
      <alignment horizontal="left" vertical="center" wrapText="1"/>
      <protection locked="0"/>
    </xf>
    <xf numFmtId="165" fontId="8" fillId="2" borderId="0" xfId="0" applyNumberFormat="1" applyFont="1" applyFill="1" applyAlignment="1" applyProtection="1">
      <alignment horizontal="center" vertical="center"/>
      <protection locked="0"/>
    </xf>
    <xf numFmtId="0" fontId="8" fillId="2" borderId="14" xfId="0" applyFont="1" applyFill="1" applyBorder="1" applyAlignment="1" applyProtection="1">
      <alignment horizontal="center" vertical="center"/>
      <protection locked="0"/>
    </xf>
    <xf numFmtId="2" fontId="8" fillId="2" borderId="4" xfId="0" applyNumberFormat="1" applyFont="1" applyFill="1" applyBorder="1" applyAlignment="1" applyProtection="1">
      <alignment horizontal="center" vertical="center"/>
      <protection locked="0"/>
    </xf>
    <xf numFmtId="2" fontId="8" fillId="2" borderId="5" xfId="0" applyNumberFormat="1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2" fontId="8" fillId="2" borderId="0" xfId="0" applyNumberFormat="1" applyFont="1" applyFill="1" applyAlignment="1" applyProtection="1">
      <alignment horizontal="center" vertical="center"/>
      <protection locked="0"/>
    </xf>
    <xf numFmtId="2" fontId="8" fillId="2" borderId="2" xfId="0" applyNumberFormat="1" applyFont="1" applyFill="1" applyBorder="1" applyAlignment="1" applyProtection="1">
      <alignment horizontal="center" vertical="center"/>
      <protection locked="0"/>
    </xf>
    <xf numFmtId="0" fontId="8" fillId="2" borderId="10" xfId="0" applyFont="1" applyFill="1" applyBorder="1" applyAlignment="1" applyProtection="1">
      <alignment horizontal="center" vertical="center"/>
      <protection locked="0"/>
    </xf>
    <xf numFmtId="2" fontId="8" fillId="2" borderId="11" xfId="0" applyNumberFormat="1" applyFont="1" applyFill="1" applyBorder="1" applyAlignment="1" applyProtection="1">
      <alignment horizontal="center" vertical="center"/>
      <protection locked="0"/>
    </xf>
    <xf numFmtId="0" fontId="8" fillId="2" borderId="44" xfId="0" applyFont="1" applyFill="1" applyBorder="1" applyAlignment="1" applyProtection="1">
      <alignment horizontal="center" vertical="center"/>
      <protection locked="0"/>
    </xf>
    <xf numFmtId="2" fontId="8" fillId="2" borderId="45" xfId="0" applyNumberFormat="1" applyFont="1" applyFill="1" applyBorder="1" applyAlignment="1" applyProtection="1">
      <alignment horizontal="center" vertical="center"/>
      <protection locked="0"/>
    </xf>
    <xf numFmtId="0" fontId="8" fillId="2" borderId="25" xfId="0" applyFont="1" applyFill="1" applyBorder="1" applyAlignment="1" applyProtection="1">
      <alignment horizontal="center" vertical="center"/>
      <protection locked="0"/>
    </xf>
    <xf numFmtId="2" fontId="8" fillId="2" borderId="26" xfId="0" applyNumberFormat="1" applyFont="1" applyFill="1" applyBorder="1" applyAlignment="1" applyProtection="1">
      <alignment horizontal="center" vertical="center"/>
      <protection locked="0"/>
    </xf>
    <xf numFmtId="2" fontId="8" fillId="2" borderId="27" xfId="0" applyNumberFormat="1" applyFont="1" applyFill="1" applyBorder="1" applyAlignment="1" applyProtection="1">
      <alignment horizontal="center" vertical="center"/>
      <protection locked="0"/>
    </xf>
    <xf numFmtId="2" fontId="8" fillId="2" borderId="12" xfId="0" applyNumberFormat="1" applyFont="1" applyFill="1" applyBorder="1" applyAlignment="1" applyProtection="1">
      <alignment horizontal="center" vertical="center"/>
      <protection locked="0"/>
    </xf>
    <xf numFmtId="2" fontId="8" fillId="2" borderId="46" xfId="0" applyNumberFormat="1" applyFont="1" applyFill="1" applyBorder="1" applyAlignment="1" applyProtection="1">
      <alignment horizontal="center" vertical="center"/>
      <protection locked="0"/>
    </xf>
    <xf numFmtId="0" fontId="8" fillId="2" borderId="15" xfId="0" applyFont="1" applyFill="1" applyBorder="1" applyAlignment="1" applyProtection="1">
      <alignment horizontal="center" vertical="center"/>
      <protection locked="0"/>
    </xf>
    <xf numFmtId="2" fontId="8" fillId="2" borderId="16" xfId="0" applyNumberFormat="1" applyFont="1" applyFill="1" applyBorder="1" applyAlignment="1" applyProtection="1">
      <alignment horizontal="center" vertical="center"/>
      <protection locked="0"/>
    </xf>
    <xf numFmtId="2" fontId="8" fillId="2" borderId="17" xfId="0" applyNumberFormat="1" applyFont="1" applyFill="1" applyBorder="1" applyAlignment="1" applyProtection="1">
      <alignment horizontal="center" vertical="center"/>
      <protection locked="0"/>
    </xf>
    <xf numFmtId="0" fontId="8" fillId="2" borderId="21" xfId="0" applyFont="1" applyFill="1" applyBorder="1" applyAlignment="1" applyProtection="1">
      <alignment horizontal="center" vertical="center"/>
      <protection locked="0"/>
    </xf>
    <xf numFmtId="2" fontId="8" fillId="2" borderId="22" xfId="0" applyNumberFormat="1" applyFont="1" applyFill="1" applyBorder="1" applyAlignment="1" applyProtection="1">
      <alignment horizontal="center" vertical="center"/>
      <protection locked="0"/>
    </xf>
    <xf numFmtId="2" fontId="8" fillId="2" borderId="23" xfId="0" applyNumberFormat="1" applyFont="1" applyFill="1" applyBorder="1" applyAlignment="1" applyProtection="1">
      <alignment horizontal="center" vertical="center"/>
      <protection locked="0"/>
    </xf>
    <xf numFmtId="0" fontId="8" fillId="2" borderId="28" xfId="0" applyFont="1" applyFill="1" applyBorder="1" applyAlignment="1" applyProtection="1">
      <alignment horizontal="center" vertical="center"/>
      <protection locked="0"/>
    </xf>
    <xf numFmtId="2" fontId="8" fillId="2" borderId="29" xfId="0" applyNumberFormat="1" applyFont="1" applyFill="1" applyBorder="1" applyAlignment="1" applyProtection="1">
      <alignment horizontal="center" vertical="center"/>
      <protection locked="0"/>
    </xf>
    <xf numFmtId="2" fontId="8" fillId="2" borderId="30" xfId="0" applyNumberFormat="1" applyFont="1" applyFill="1" applyBorder="1" applyAlignment="1" applyProtection="1">
      <alignment horizontal="center" vertical="center"/>
      <protection locked="0"/>
    </xf>
    <xf numFmtId="0" fontId="8" fillId="2" borderId="38" xfId="0" applyFont="1" applyFill="1" applyBorder="1" applyAlignment="1" applyProtection="1">
      <alignment horizontal="center" vertical="center"/>
      <protection locked="0"/>
    </xf>
    <xf numFmtId="2" fontId="8" fillId="2" borderId="39" xfId="0" applyNumberFormat="1" applyFont="1" applyFill="1" applyBorder="1" applyAlignment="1" applyProtection="1">
      <alignment horizontal="center" vertical="center"/>
      <protection locked="0"/>
    </xf>
    <xf numFmtId="2" fontId="8" fillId="2" borderId="77" xfId="0" applyNumberFormat="1" applyFont="1" applyFill="1" applyBorder="1" applyAlignment="1" applyProtection="1">
      <alignment horizontal="center" vertical="center"/>
      <protection locked="0"/>
    </xf>
    <xf numFmtId="2" fontId="8" fillId="2" borderId="11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2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0" xfId="0" applyNumberFormat="1" applyFont="1" applyFill="1" applyAlignment="1" applyProtection="1">
      <alignment horizontal="center" vertical="center" wrapText="1"/>
      <protection locked="0"/>
    </xf>
    <xf numFmtId="2" fontId="8" fillId="2" borderId="19" xfId="0" applyNumberFormat="1" applyFont="1" applyFill="1" applyBorder="1" applyAlignment="1" applyProtection="1">
      <alignment horizontal="center" vertical="center"/>
      <protection locked="0"/>
    </xf>
    <xf numFmtId="2" fontId="8" fillId="2" borderId="20" xfId="0" applyNumberFormat="1" applyFont="1" applyFill="1" applyBorder="1" applyAlignment="1" applyProtection="1">
      <alignment horizontal="center" vertical="center"/>
      <protection locked="0"/>
    </xf>
    <xf numFmtId="2" fontId="8" fillId="0" borderId="4" xfId="0" applyNumberFormat="1" applyFont="1" applyBorder="1" applyAlignment="1" applyProtection="1">
      <alignment horizontal="center" vertical="center"/>
      <protection locked="0"/>
    </xf>
    <xf numFmtId="2" fontId="8" fillId="0" borderId="2" xfId="0" applyNumberFormat="1" applyFont="1" applyBorder="1" applyAlignment="1" applyProtection="1">
      <alignment horizontal="center" vertical="center"/>
      <protection locked="0"/>
    </xf>
    <xf numFmtId="2" fontId="8" fillId="2" borderId="75" xfId="0" applyNumberFormat="1" applyFont="1" applyFill="1" applyBorder="1" applyAlignment="1" applyProtection="1">
      <alignment horizontal="center" vertical="center"/>
      <protection locked="0"/>
    </xf>
    <xf numFmtId="2" fontId="8" fillId="0" borderId="40" xfId="0" applyNumberFormat="1" applyFont="1" applyBorder="1" applyAlignment="1" applyProtection="1">
      <alignment horizontal="center" vertical="center"/>
      <protection locked="0"/>
    </xf>
    <xf numFmtId="0" fontId="8" fillId="2" borderId="54" xfId="0" applyFont="1" applyFill="1" applyBorder="1" applyAlignment="1" applyProtection="1">
      <alignment horizontal="center" vertical="center"/>
      <protection locked="0"/>
    </xf>
    <xf numFmtId="2" fontId="8" fillId="0" borderId="11" xfId="0" applyNumberFormat="1" applyFont="1" applyBorder="1" applyAlignment="1" applyProtection="1">
      <alignment horizontal="center" vertical="center"/>
      <protection locked="0"/>
    </xf>
    <xf numFmtId="2" fontId="8" fillId="0" borderId="12" xfId="0" applyNumberFormat="1" applyFont="1" applyBorder="1" applyAlignment="1" applyProtection="1">
      <alignment horizontal="center" vertical="center"/>
      <protection locked="0"/>
    </xf>
    <xf numFmtId="2" fontId="8" fillId="0" borderId="29" xfId="0" applyNumberFormat="1" applyFont="1" applyBorder="1" applyAlignment="1" applyProtection="1">
      <alignment horizontal="center" vertical="center"/>
      <protection locked="0"/>
    </xf>
    <xf numFmtId="2" fontId="8" fillId="0" borderId="30" xfId="0" applyNumberFormat="1" applyFont="1" applyBorder="1" applyAlignment="1" applyProtection="1">
      <alignment horizontal="center" vertical="center"/>
      <protection locked="0"/>
    </xf>
    <xf numFmtId="2" fontId="8" fillId="0" borderId="65" xfId="0" applyNumberFormat="1" applyFont="1" applyBorder="1" applyAlignment="1" applyProtection="1">
      <alignment horizontal="center" vertical="center"/>
      <protection locked="0"/>
    </xf>
    <xf numFmtId="0" fontId="8" fillId="2" borderId="31" xfId="0" applyFont="1" applyFill="1" applyBorder="1" applyAlignment="1" applyProtection="1">
      <alignment horizontal="center" vertical="center"/>
      <protection locked="0"/>
    </xf>
    <xf numFmtId="2" fontId="8" fillId="0" borderId="5" xfId="0" applyNumberFormat="1" applyFont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 applyProtection="1">
      <alignment horizontal="center" vertical="center"/>
      <protection locked="0"/>
    </xf>
    <xf numFmtId="2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44" xfId="0" applyFont="1" applyFill="1" applyBorder="1" applyAlignment="1" applyProtection="1">
      <alignment horizontal="center" vertical="center" wrapText="1"/>
      <protection locked="0"/>
    </xf>
    <xf numFmtId="2" fontId="8" fillId="2" borderId="45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33" xfId="0" applyFont="1" applyFill="1" applyBorder="1" applyAlignment="1">
      <alignment horizontal="center" vertical="center"/>
    </xf>
    <xf numFmtId="2" fontId="8" fillId="2" borderId="79" xfId="0" applyNumberFormat="1" applyFont="1" applyFill="1" applyBorder="1" applyAlignment="1">
      <alignment horizontal="center" vertical="center"/>
    </xf>
    <xf numFmtId="2" fontId="8" fillId="2" borderId="20" xfId="0" applyNumberFormat="1" applyFont="1" applyFill="1" applyBorder="1" applyAlignment="1">
      <alignment horizontal="center" vertical="center"/>
    </xf>
    <xf numFmtId="2" fontId="8" fillId="2" borderId="68" xfId="0" applyNumberFormat="1" applyFont="1" applyFill="1" applyBorder="1" applyAlignment="1" applyProtection="1">
      <alignment horizontal="center" vertical="center"/>
      <protection locked="0"/>
    </xf>
    <xf numFmtId="0" fontId="8" fillId="2" borderId="18" xfId="0" applyFont="1" applyFill="1" applyBorder="1" applyAlignment="1" applyProtection="1">
      <alignment horizontal="center" vertical="center"/>
      <protection locked="0"/>
    </xf>
    <xf numFmtId="2" fontId="8" fillId="2" borderId="51" xfId="0" applyNumberFormat="1" applyFont="1" applyFill="1" applyBorder="1" applyAlignment="1" applyProtection="1">
      <alignment horizontal="center" vertical="center"/>
      <protection locked="0"/>
    </xf>
    <xf numFmtId="2" fontId="8" fillId="2" borderId="53" xfId="0" applyNumberFormat="1" applyFont="1" applyFill="1" applyBorder="1" applyAlignment="1" applyProtection="1">
      <alignment horizontal="center" vertical="center"/>
      <protection locked="0"/>
    </xf>
    <xf numFmtId="2" fontId="8" fillId="2" borderId="64" xfId="0" applyNumberFormat="1" applyFont="1" applyFill="1" applyBorder="1" applyAlignment="1" applyProtection="1">
      <alignment horizontal="center" vertical="center"/>
      <protection locked="0"/>
    </xf>
    <xf numFmtId="0" fontId="8" fillId="2" borderId="15" xfId="0" applyFont="1" applyFill="1" applyBorder="1" applyAlignment="1" applyProtection="1">
      <alignment horizontal="center" vertical="center" wrapText="1"/>
      <protection locked="0"/>
    </xf>
    <xf numFmtId="2" fontId="8" fillId="2" borderId="16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7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20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27" xfId="0" applyFont="1" applyFill="1" applyBorder="1" applyAlignment="1" applyProtection="1">
      <alignment horizontal="center" vertical="center"/>
      <protection locked="0"/>
    </xf>
    <xf numFmtId="2" fontId="8" fillId="2" borderId="52" xfId="0" applyNumberFormat="1" applyFont="1" applyFill="1" applyBorder="1" applyAlignment="1" applyProtection="1">
      <alignment horizontal="center" vertical="center"/>
      <protection locked="0"/>
    </xf>
    <xf numFmtId="0" fontId="8" fillId="2" borderId="1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2" fontId="8" fillId="0" borderId="54" xfId="0" applyNumberFormat="1" applyFont="1" applyBorder="1" applyAlignment="1" applyProtection="1">
      <alignment horizontal="center" vertical="center"/>
      <protection locked="0"/>
    </xf>
    <xf numFmtId="2" fontId="8" fillId="0" borderId="52" xfId="0" applyNumberFormat="1" applyFont="1" applyBorder="1" applyAlignment="1" applyProtection="1">
      <alignment horizontal="center" vertical="center"/>
      <protection locked="0"/>
    </xf>
    <xf numFmtId="0" fontId="8" fillId="2" borderId="48" xfId="0" applyFont="1" applyFill="1" applyBorder="1" applyAlignment="1" applyProtection="1">
      <alignment horizontal="center" vertical="center"/>
      <protection locked="0"/>
    </xf>
    <xf numFmtId="0" fontId="8" fillId="2" borderId="50" xfId="0" applyFont="1" applyFill="1" applyBorder="1" applyAlignment="1" applyProtection="1">
      <alignment horizontal="center" vertical="center"/>
      <protection locked="0"/>
    </xf>
    <xf numFmtId="0" fontId="8" fillId="2" borderId="66" xfId="0" applyFont="1" applyFill="1" applyBorder="1" applyAlignment="1" applyProtection="1">
      <alignment horizontal="center" vertical="center"/>
      <protection locked="0"/>
    </xf>
    <xf numFmtId="2" fontId="8" fillId="0" borderId="19" xfId="0" applyNumberFormat="1" applyFont="1" applyBorder="1" applyAlignment="1" applyProtection="1">
      <alignment horizontal="center" vertical="center"/>
      <protection locked="0"/>
    </xf>
    <xf numFmtId="2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39" xfId="0" applyNumberFormat="1" applyFont="1" applyBorder="1" applyAlignment="1" applyProtection="1">
      <alignment horizontal="center" vertical="center"/>
      <protection locked="0"/>
    </xf>
    <xf numFmtId="2" fontId="8" fillId="0" borderId="48" xfId="0" applyNumberFormat="1" applyFont="1" applyBorder="1" applyAlignment="1" applyProtection="1">
      <alignment horizontal="center" vertical="center"/>
      <protection locked="0"/>
    </xf>
    <xf numFmtId="2" fontId="8" fillId="0" borderId="49" xfId="0" applyNumberFormat="1" applyFont="1" applyBorder="1" applyAlignment="1" applyProtection="1">
      <alignment horizontal="center" vertical="center"/>
      <protection locked="0"/>
    </xf>
    <xf numFmtId="2" fontId="8" fillId="0" borderId="63" xfId="0" applyNumberFormat="1" applyFont="1" applyBorder="1" applyAlignment="1" applyProtection="1">
      <alignment horizontal="center" vertical="center"/>
      <protection locked="0"/>
    </xf>
    <xf numFmtId="2" fontId="8" fillId="0" borderId="74" xfId="0" applyNumberFormat="1" applyFont="1" applyBorder="1" applyAlignment="1" applyProtection="1">
      <alignment horizontal="center" vertical="center"/>
      <protection locked="0"/>
    </xf>
    <xf numFmtId="2" fontId="8" fillId="2" borderId="49" xfId="0" applyNumberFormat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left" vertical="center"/>
    </xf>
    <xf numFmtId="0" fontId="30" fillId="2" borderId="52" xfId="0" applyFont="1" applyFill="1" applyBorder="1" applyAlignment="1" applyProtection="1">
      <alignment horizontal="center" vertical="center" wrapText="1"/>
      <protection locked="0"/>
    </xf>
    <xf numFmtId="2" fontId="30" fillId="2" borderId="26" xfId="0" applyNumberFormat="1" applyFont="1" applyFill="1" applyBorder="1" applyAlignment="1" applyProtection="1">
      <alignment horizontal="center" vertical="center" wrapText="1"/>
      <protection locked="0"/>
    </xf>
    <xf numFmtId="2" fontId="30" fillId="2" borderId="27" xfId="0" applyNumberFormat="1" applyFont="1" applyFill="1" applyBorder="1" applyAlignment="1" applyProtection="1">
      <alignment horizontal="center" vertical="center" wrapText="1"/>
      <protection locked="0"/>
    </xf>
    <xf numFmtId="2" fontId="30" fillId="2" borderId="9" xfId="0" applyNumberFormat="1" applyFont="1" applyFill="1" applyBorder="1" applyAlignment="1" applyProtection="1">
      <alignment horizontal="center" vertical="center" wrapText="1"/>
      <protection locked="0"/>
    </xf>
    <xf numFmtId="2" fontId="30" fillId="2" borderId="63" xfId="0" applyNumberFormat="1" applyFont="1" applyFill="1" applyBorder="1" applyAlignment="1" applyProtection="1">
      <alignment horizontal="center" vertical="center" wrapText="1"/>
      <protection locked="0"/>
    </xf>
    <xf numFmtId="0" fontId="33" fillId="2" borderId="14" xfId="0" applyFont="1" applyFill="1" applyBorder="1" applyAlignment="1" applyProtection="1">
      <alignment horizontal="center" vertical="center"/>
      <protection locked="0"/>
    </xf>
    <xf numFmtId="2" fontId="33" fillId="2" borderId="5" xfId="0" applyNumberFormat="1" applyFont="1" applyFill="1" applyBorder="1" applyAlignment="1" applyProtection="1">
      <alignment horizontal="center" vertical="center"/>
      <protection locked="0"/>
    </xf>
    <xf numFmtId="2" fontId="33" fillId="2" borderId="4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165" fontId="8" fillId="2" borderId="0" xfId="1" applyNumberFormat="1" applyFont="1" applyFill="1" applyAlignment="1" applyProtection="1">
      <alignment horizontal="center" vertical="center"/>
      <protection locked="0"/>
    </xf>
    <xf numFmtId="2" fontId="8" fillId="2" borderId="79" xfId="0" applyNumberFormat="1" applyFont="1" applyFill="1" applyBorder="1" applyAlignment="1" applyProtection="1">
      <alignment horizontal="center" vertical="center"/>
      <protection locked="0"/>
    </xf>
    <xf numFmtId="0" fontId="8" fillId="2" borderId="61" xfId="0" applyFont="1" applyFill="1" applyBorder="1" applyAlignment="1" applyProtection="1">
      <alignment horizontal="center" vertical="center"/>
      <protection locked="0"/>
    </xf>
    <xf numFmtId="0" fontId="33" fillId="2" borderId="15" xfId="0" applyFont="1" applyFill="1" applyBorder="1" applyAlignment="1">
      <alignment horizontal="center" vertical="center"/>
    </xf>
    <xf numFmtId="0" fontId="33" fillId="2" borderId="21" xfId="0" applyFont="1" applyFill="1" applyBorder="1" applyAlignment="1">
      <alignment horizontal="center" vertical="center"/>
    </xf>
    <xf numFmtId="2" fontId="33" fillId="2" borderId="22" xfId="0" applyNumberFormat="1" applyFont="1" applyFill="1" applyBorder="1" applyAlignment="1">
      <alignment horizontal="center" vertical="center"/>
    </xf>
    <xf numFmtId="0" fontId="51" fillId="2" borderId="0" xfId="0" applyFont="1" applyFill="1"/>
    <xf numFmtId="0" fontId="37" fillId="2" borderId="0" xfId="0" applyFont="1" applyFill="1"/>
    <xf numFmtId="0" fontId="52" fillId="2" borderId="0" xfId="0" applyFont="1" applyFill="1"/>
    <xf numFmtId="0" fontId="33" fillId="2" borderId="1" xfId="0" applyFont="1" applyFill="1" applyBorder="1" applyAlignment="1">
      <alignment horizontal="center"/>
    </xf>
    <xf numFmtId="0" fontId="33" fillId="2" borderId="31" xfId="0" applyFont="1" applyFill="1" applyBorder="1" applyAlignment="1">
      <alignment horizontal="center"/>
    </xf>
    <xf numFmtId="2" fontId="33" fillId="2" borderId="77" xfId="0" applyNumberFormat="1" applyFont="1" applyFill="1" applyBorder="1" applyAlignment="1">
      <alignment horizontal="center"/>
    </xf>
    <xf numFmtId="2" fontId="33" fillId="2" borderId="5" xfId="0" applyNumberFormat="1" applyFont="1" applyFill="1" applyBorder="1" applyAlignment="1">
      <alignment horizontal="center"/>
    </xf>
    <xf numFmtId="0" fontId="33" fillId="2" borderId="51" xfId="0" applyFont="1" applyFill="1" applyBorder="1" applyAlignment="1">
      <alignment horizontal="center"/>
    </xf>
    <xf numFmtId="0" fontId="33" fillId="2" borderId="72" xfId="0" applyFont="1" applyFill="1" applyBorder="1" applyAlignment="1">
      <alignment horizontal="center" vertical="center"/>
    </xf>
    <xf numFmtId="0" fontId="33" fillId="2" borderId="36" xfId="0" applyFont="1" applyFill="1" applyBorder="1" applyAlignment="1" applyProtection="1">
      <alignment horizontal="left" vertical="center"/>
      <protection locked="0"/>
    </xf>
    <xf numFmtId="0" fontId="31" fillId="2" borderId="6" xfId="0" applyFont="1" applyFill="1" applyBorder="1"/>
    <xf numFmtId="0" fontId="32" fillId="2" borderId="32" xfId="0" applyFont="1" applyFill="1" applyBorder="1" applyAlignment="1">
      <alignment vertical="center"/>
    </xf>
    <xf numFmtId="0" fontId="31" fillId="2" borderId="7" xfId="0" applyFont="1" applyFill="1" applyBorder="1"/>
    <xf numFmtId="0" fontId="32" fillId="2" borderId="33" xfId="0" applyFont="1" applyFill="1" applyBorder="1" applyAlignment="1">
      <alignment vertical="center"/>
    </xf>
    <xf numFmtId="0" fontId="32" fillId="2" borderId="35" xfId="0" applyFont="1" applyFill="1" applyBorder="1" applyAlignment="1">
      <alignment vertical="center"/>
    </xf>
    <xf numFmtId="2" fontId="33" fillId="2" borderId="16" xfId="0" applyNumberFormat="1" applyFont="1" applyFill="1" applyBorder="1" applyAlignment="1">
      <alignment horizontal="center" vertical="center" wrapText="1"/>
    </xf>
    <xf numFmtId="0" fontId="33" fillId="2" borderId="76" xfId="0" applyFont="1" applyFill="1" applyBorder="1" applyAlignment="1">
      <alignment horizontal="center" vertical="center"/>
    </xf>
    <xf numFmtId="2" fontId="33" fillId="2" borderId="78" xfId="0" applyNumberFormat="1" applyFont="1" applyFill="1" applyBorder="1" applyAlignment="1">
      <alignment horizontal="center" vertical="center"/>
    </xf>
    <xf numFmtId="2" fontId="33" fillId="2" borderId="26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 applyProtection="1">
      <alignment horizontal="left" vertical="center" wrapText="1"/>
      <protection locked="0"/>
    </xf>
    <xf numFmtId="49" fontId="8" fillId="2" borderId="6" xfId="0" applyNumberFormat="1" applyFont="1" applyFill="1" applyBorder="1" applyAlignment="1">
      <alignment horizontal="left" vertical="center"/>
    </xf>
    <xf numFmtId="2" fontId="8" fillId="2" borderId="48" xfId="0" applyNumberFormat="1" applyFont="1" applyFill="1" applyBorder="1" applyAlignment="1" applyProtection="1">
      <alignment horizontal="center" vertical="center"/>
      <protection locked="0"/>
    </xf>
    <xf numFmtId="49" fontId="8" fillId="2" borderId="7" xfId="0" applyNumberFormat="1" applyFont="1" applyFill="1" applyBorder="1" applyAlignment="1">
      <alignment horizontal="left" vertical="center"/>
    </xf>
    <xf numFmtId="2" fontId="8" fillId="2" borderId="56" xfId="0" applyNumberFormat="1" applyFont="1" applyFill="1" applyBorder="1" applyAlignment="1" applyProtection="1">
      <alignment horizontal="center" vertical="center"/>
      <protection locked="0"/>
    </xf>
    <xf numFmtId="49" fontId="8" fillId="2" borderId="8" xfId="0" applyNumberFormat="1" applyFont="1" applyFill="1" applyBorder="1" applyAlignment="1">
      <alignment horizontal="left" vertical="center"/>
    </xf>
    <xf numFmtId="0" fontId="30" fillId="2" borderId="67" xfId="0" applyFont="1" applyFill="1" applyBorder="1" applyAlignment="1" applyProtection="1">
      <alignment horizontal="center" vertical="center" wrapText="1"/>
      <protection locked="0"/>
    </xf>
    <xf numFmtId="0" fontId="33" fillId="2" borderId="26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49" fontId="31" fillId="2" borderId="4" xfId="0" applyNumberFormat="1" applyFont="1" applyFill="1" applyBorder="1" applyAlignment="1">
      <alignment horizontal="center" vertical="center"/>
    </xf>
    <xf numFmtId="49" fontId="32" fillId="2" borderId="4" xfId="0" applyNumberFormat="1" applyFont="1" applyFill="1" applyBorder="1" applyAlignment="1">
      <alignment horizontal="center" vertical="center"/>
    </xf>
    <xf numFmtId="49" fontId="32" fillId="2" borderId="5" xfId="0" applyNumberFormat="1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72" xfId="0" applyFont="1" applyFill="1" applyBorder="1" applyAlignment="1">
      <alignment horizontal="center" vertical="center"/>
    </xf>
    <xf numFmtId="2" fontId="33" fillId="2" borderId="16" xfId="0" applyNumberFormat="1" applyFont="1" applyFill="1" applyBorder="1" applyAlignment="1" applyProtection="1">
      <alignment horizontal="center" vertical="center"/>
      <protection locked="0"/>
    </xf>
    <xf numFmtId="2" fontId="33" fillId="2" borderId="17" xfId="0" applyNumberFormat="1" applyFont="1" applyFill="1" applyBorder="1" applyAlignment="1" applyProtection="1">
      <alignment horizontal="center" vertical="center"/>
      <protection locked="0"/>
    </xf>
    <xf numFmtId="0" fontId="33" fillId="4" borderId="32" xfId="0" applyFont="1" applyFill="1" applyBorder="1" applyAlignment="1">
      <alignment horizontal="left" vertical="center"/>
    </xf>
    <xf numFmtId="0" fontId="33" fillId="4" borderId="33" xfId="0" applyFont="1" applyFill="1" applyBorder="1" applyAlignment="1">
      <alignment horizontal="left" vertical="center"/>
    </xf>
    <xf numFmtId="0" fontId="33" fillId="4" borderId="34" xfId="0" applyFont="1" applyFill="1" applyBorder="1" applyAlignment="1">
      <alignment horizontal="left" vertical="center"/>
    </xf>
    <xf numFmtId="0" fontId="54" fillId="2" borderId="6" xfId="0" applyFont="1" applyFill="1" applyBorder="1" applyAlignment="1">
      <alignment vertical="center"/>
    </xf>
    <xf numFmtId="0" fontId="54" fillId="2" borderId="7" xfId="0" applyFont="1" applyFill="1" applyBorder="1" applyAlignment="1">
      <alignment vertical="center"/>
    </xf>
    <xf numFmtId="0" fontId="54" fillId="2" borderId="8" xfId="0" applyFont="1" applyFill="1" applyBorder="1" applyAlignment="1">
      <alignment vertical="center"/>
    </xf>
    <xf numFmtId="0" fontId="54" fillId="2" borderId="13" xfId="0" applyFont="1" applyFill="1" applyBorder="1" applyAlignment="1">
      <alignment horizontal="left" vertical="center"/>
    </xf>
    <xf numFmtId="0" fontId="54" fillId="2" borderId="7" xfId="0" applyFont="1" applyFill="1" applyBorder="1" applyAlignment="1">
      <alignment horizontal="left" vertical="center"/>
    </xf>
    <xf numFmtId="0" fontId="54" fillId="2" borderId="8" xfId="0" applyFont="1" applyFill="1" applyBorder="1" applyAlignment="1">
      <alignment horizontal="left" vertical="center"/>
    </xf>
    <xf numFmtId="0" fontId="54" fillId="2" borderId="62" xfId="0" applyFont="1" applyFill="1" applyBorder="1" applyAlignment="1">
      <alignment horizontal="left" vertical="center"/>
    </xf>
    <xf numFmtId="2" fontId="33" fillId="2" borderId="1" xfId="0" applyNumberFormat="1" applyFont="1" applyFill="1" applyBorder="1" applyAlignment="1" applyProtection="1">
      <alignment horizontal="center" vertical="center"/>
      <protection locked="0"/>
    </xf>
    <xf numFmtId="0" fontId="32" fillId="2" borderId="24" xfId="0" applyFont="1" applyFill="1" applyBorder="1" applyAlignment="1">
      <alignment vertical="center"/>
    </xf>
    <xf numFmtId="0" fontId="32" fillId="2" borderId="1" xfId="0" applyFont="1" applyFill="1" applyBorder="1" applyAlignment="1">
      <alignment vertical="center"/>
    </xf>
    <xf numFmtId="0" fontId="8" fillId="2" borderId="64" xfId="0" applyFont="1" applyFill="1" applyBorder="1" applyAlignment="1">
      <alignment horizontal="center" vertical="center"/>
    </xf>
    <xf numFmtId="0" fontId="33" fillId="2" borderId="33" xfId="0" applyFont="1" applyFill="1" applyBorder="1" applyAlignment="1" applyProtection="1">
      <alignment vertical="center"/>
      <protection locked="0"/>
    </xf>
    <xf numFmtId="2" fontId="8" fillId="2" borderId="1" xfId="0" applyNumberFormat="1" applyFont="1" applyFill="1" applyBorder="1" applyAlignment="1" applyProtection="1">
      <alignment horizontal="center" vertical="center"/>
      <protection locked="0"/>
    </xf>
    <xf numFmtId="0" fontId="55" fillId="2" borderId="7" xfId="11" applyFont="1" applyFill="1" applyBorder="1" applyAlignment="1" applyProtection="1">
      <alignment horizontal="left" vertical="center" wrapText="1"/>
      <protection locked="0"/>
    </xf>
    <xf numFmtId="0" fontId="55" fillId="2" borderId="7" xfId="0" applyFont="1" applyFill="1" applyBorder="1"/>
    <xf numFmtId="0" fontId="56" fillId="2" borderId="1" xfId="0" applyFont="1" applyFill="1" applyBorder="1" applyAlignment="1" applyProtection="1">
      <alignment horizontal="left" vertical="center" wrapText="1"/>
      <protection locked="0"/>
    </xf>
    <xf numFmtId="0" fontId="56" fillId="2" borderId="68" xfId="0" applyFont="1" applyFill="1" applyBorder="1" applyAlignment="1" applyProtection="1">
      <alignment horizontal="center" vertical="center" wrapText="1"/>
      <protection locked="0"/>
    </xf>
    <xf numFmtId="0" fontId="56" fillId="2" borderId="1" xfId="0" applyFont="1" applyFill="1" applyBorder="1" applyAlignment="1" applyProtection="1">
      <alignment vertical="center" wrapText="1"/>
      <protection locked="0"/>
    </xf>
    <xf numFmtId="0" fontId="56" fillId="2" borderId="9" xfId="0" applyFont="1" applyFill="1" applyBorder="1" applyAlignment="1" applyProtection="1">
      <alignment horizontal="center" vertical="center" wrapText="1"/>
      <protection locked="0"/>
    </xf>
    <xf numFmtId="0" fontId="56" fillId="2" borderId="10" xfId="0" applyFont="1" applyFill="1" applyBorder="1" applyAlignment="1" applyProtection="1">
      <alignment horizontal="center" vertical="center" wrapText="1"/>
      <protection locked="0"/>
    </xf>
    <xf numFmtId="2" fontId="56" fillId="2" borderId="11" xfId="0" applyNumberFormat="1" applyFont="1" applyFill="1" applyBorder="1" applyAlignment="1" applyProtection="1">
      <alignment horizontal="center" vertical="center" wrapText="1"/>
      <protection locked="0"/>
    </xf>
    <xf numFmtId="2" fontId="56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57" fillId="2" borderId="7" xfId="0" applyFont="1" applyFill="1" applyBorder="1"/>
    <xf numFmtId="0" fontId="57" fillId="2" borderId="13" xfId="0" applyFont="1" applyFill="1" applyBorder="1" applyAlignment="1">
      <alignment horizontal="left" vertical="center"/>
    </xf>
    <xf numFmtId="0" fontId="55" fillId="2" borderId="7" xfId="0" applyFont="1" applyFill="1" applyBorder="1" applyAlignment="1" applyProtection="1">
      <alignment vertical="center"/>
      <protection locked="0"/>
    </xf>
    <xf numFmtId="0" fontId="57" fillId="2" borderId="36" xfId="0" applyFont="1" applyFill="1" applyBorder="1"/>
    <xf numFmtId="0" fontId="57" fillId="2" borderId="6" xfId="0" applyFont="1" applyFill="1" applyBorder="1"/>
    <xf numFmtId="0" fontId="57" fillId="4" borderId="7" xfId="0" applyFont="1" applyFill="1" applyBorder="1" applyAlignment="1">
      <alignment horizontal="left" vertical="center"/>
    </xf>
    <xf numFmtId="0" fontId="55" fillId="2" borderId="7" xfId="0" applyFont="1" applyFill="1" applyBorder="1" applyAlignment="1" applyProtection="1">
      <alignment horizontal="left" vertical="center"/>
      <protection locked="0"/>
    </xf>
    <xf numFmtId="0" fontId="55" fillId="2" borderId="7" xfId="0" applyFont="1" applyFill="1" applyBorder="1" applyAlignment="1">
      <alignment horizontal="left" vertical="center"/>
    </xf>
    <xf numFmtId="0" fontId="58" fillId="2" borderId="0" xfId="0" applyFont="1" applyFill="1" applyAlignment="1" applyProtection="1">
      <alignment horizontal="left" vertical="center"/>
      <protection locked="0"/>
    </xf>
    <xf numFmtId="0" fontId="33" fillId="2" borderId="15" xfId="0" applyFont="1" applyFill="1" applyBorder="1" applyAlignment="1" applyProtection="1">
      <alignment horizontal="center" vertical="center"/>
      <protection locked="0"/>
    </xf>
    <xf numFmtId="0" fontId="59" fillId="2" borderId="0" xfId="0" applyFont="1" applyFill="1" applyAlignment="1" applyProtection="1">
      <alignment horizontal="left" vertical="center"/>
      <protection locked="0"/>
    </xf>
    <xf numFmtId="2" fontId="8" fillId="2" borderId="72" xfId="0" applyNumberFormat="1" applyFont="1" applyFill="1" applyBorder="1" applyAlignment="1">
      <alignment horizontal="center" vertical="center"/>
    </xf>
    <xf numFmtId="0" fontId="53" fillId="2" borderId="1" xfId="0" applyFont="1" applyFill="1" applyBorder="1" applyAlignment="1">
      <alignment vertical="center"/>
    </xf>
    <xf numFmtId="0" fontId="33" fillId="2" borderId="18" xfId="0" applyFont="1" applyFill="1" applyBorder="1" applyAlignment="1" applyProtection="1">
      <alignment horizontal="center" vertical="center"/>
      <protection locked="0"/>
    </xf>
    <xf numFmtId="2" fontId="33" fillId="2" borderId="19" xfId="0" applyNumberFormat="1" applyFont="1" applyFill="1" applyBorder="1" applyAlignment="1" applyProtection="1">
      <alignment horizontal="center" vertical="center"/>
      <protection locked="0"/>
    </xf>
    <xf numFmtId="2" fontId="33" fillId="2" borderId="20" xfId="0" applyNumberFormat="1" applyFont="1" applyFill="1" applyBorder="1" applyAlignment="1" applyProtection="1">
      <alignment horizontal="center" vertical="center"/>
      <protection locked="0"/>
    </xf>
    <xf numFmtId="0" fontId="33" fillId="2" borderId="38" xfId="0" applyFont="1" applyFill="1" applyBorder="1" applyAlignment="1" applyProtection="1">
      <alignment horizontal="center" vertical="center"/>
      <protection locked="0"/>
    </xf>
    <xf numFmtId="2" fontId="33" fillId="2" borderId="39" xfId="0" applyNumberFormat="1" applyFont="1" applyFill="1" applyBorder="1" applyAlignment="1" applyProtection="1">
      <alignment horizontal="center" vertical="center"/>
      <protection locked="0"/>
    </xf>
    <xf numFmtId="2" fontId="33" fillId="2" borderId="40" xfId="0" applyNumberFormat="1" applyFont="1" applyFill="1" applyBorder="1" applyAlignment="1" applyProtection="1">
      <alignment horizontal="center" vertical="center"/>
      <protection locked="0"/>
    </xf>
    <xf numFmtId="2" fontId="8" fillId="0" borderId="45" xfId="0" applyNumberFormat="1" applyFont="1" applyBorder="1" applyAlignment="1" applyProtection="1">
      <alignment horizontal="center" vertical="center" wrapText="1"/>
      <protection locked="0"/>
    </xf>
    <xf numFmtId="2" fontId="8" fillId="0" borderId="46" xfId="0" applyNumberFormat="1" applyFont="1" applyBorder="1" applyAlignment="1" applyProtection="1">
      <alignment horizontal="center" vertical="center"/>
      <protection locked="0"/>
    </xf>
    <xf numFmtId="0" fontId="33" fillId="2" borderId="38" xfId="0" applyFont="1" applyFill="1" applyBorder="1" applyAlignment="1">
      <alignment vertical="center"/>
    </xf>
    <xf numFmtId="2" fontId="33" fillId="2" borderId="19" xfId="0" applyNumberFormat="1" applyFont="1" applyFill="1" applyBorder="1" applyAlignment="1">
      <alignment vertical="center"/>
    </xf>
    <xf numFmtId="0" fontId="33" fillId="2" borderId="20" xfId="0" applyFont="1" applyFill="1" applyBorder="1" applyAlignment="1">
      <alignment vertical="center"/>
    </xf>
    <xf numFmtId="2" fontId="33" fillId="2" borderId="39" xfId="0" applyNumberFormat="1" applyFont="1" applyFill="1" applyBorder="1" applyAlignment="1">
      <alignment vertical="center"/>
    </xf>
    <xf numFmtId="2" fontId="33" fillId="2" borderId="40" xfId="0" applyNumberFormat="1" applyFont="1" applyFill="1" applyBorder="1" applyAlignment="1">
      <alignment vertical="center"/>
    </xf>
    <xf numFmtId="0" fontId="28" fillId="2" borderId="7" xfId="0" applyFont="1" applyFill="1" applyBorder="1" applyAlignment="1" applyProtection="1">
      <alignment horizontal="left" vertical="center"/>
      <protection locked="0"/>
    </xf>
    <xf numFmtId="0" fontId="28" fillId="2" borderId="8" xfId="0" applyFont="1" applyFill="1" applyBorder="1" applyAlignment="1" applyProtection="1">
      <alignment horizontal="left" vertical="center"/>
      <protection locked="0"/>
    </xf>
    <xf numFmtId="0" fontId="33" fillId="2" borderId="36" xfId="0" applyFont="1" applyFill="1" applyBorder="1" applyAlignment="1">
      <alignment horizontal="left"/>
    </xf>
    <xf numFmtId="0" fontId="53" fillId="2" borderId="92" xfId="0" applyFont="1" applyFill="1" applyBorder="1" applyAlignment="1">
      <alignment vertical="center"/>
    </xf>
    <xf numFmtId="0" fontId="61" fillId="2" borderId="0" xfId="0" applyFont="1" applyFill="1"/>
    <xf numFmtId="0" fontId="61" fillId="2" borderId="0" xfId="0" applyFont="1" applyFill="1" applyAlignment="1" applyProtection="1">
      <alignment horizontal="right" vertical="center"/>
      <protection locked="0"/>
    </xf>
    <xf numFmtId="0" fontId="62" fillId="2" borderId="0" xfId="0" applyFont="1" applyFill="1" applyAlignment="1" applyProtection="1">
      <alignment horizontal="right" vertical="center"/>
      <protection locked="0"/>
    </xf>
    <xf numFmtId="0" fontId="26" fillId="2" borderId="0" xfId="0" applyFont="1" applyFill="1" applyAlignment="1" applyProtection="1">
      <alignment vertical="center"/>
      <protection locked="0"/>
    </xf>
    <xf numFmtId="0" fontId="61" fillId="2" borderId="0" xfId="0" applyFont="1" applyFill="1" applyAlignment="1">
      <alignment horizontal="right"/>
    </xf>
    <xf numFmtId="0" fontId="62" fillId="2" borderId="0" xfId="0" applyFont="1" applyFill="1" applyAlignment="1" applyProtection="1">
      <alignment horizontal="center" vertical="center"/>
      <protection locked="0"/>
    </xf>
    <xf numFmtId="0" fontId="63" fillId="2" borderId="0" xfId="11" applyFont="1" applyFill="1" applyBorder="1" applyAlignment="1" applyProtection="1">
      <alignment horizontal="right" vertical="center" wrapText="1"/>
      <protection locked="0"/>
    </xf>
    <xf numFmtId="0" fontId="24" fillId="2" borderId="0" xfId="11" applyFont="1" applyFill="1" applyBorder="1" applyAlignment="1" applyProtection="1">
      <alignment horizontal="right" vertical="center" wrapText="1"/>
      <protection locked="0"/>
    </xf>
    <xf numFmtId="0" fontId="8" fillId="2" borderId="14" xfId="0" applyFont="1" applyFill="1" applyBorder="1" applyAlignment="1" applyProtection="1">
      <alignment horizontal="center" vertical="center" wrapText="1"/>
      <protection locked="0"/>
    </xf>
    <xf numFmtId="2" fontId="8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31" fillId="2" borderId="23" xfId="0" applyNumberFormat="1" applyFont="1" applyFill="1" applyBorder="1" applyAlignment="1">
      <alignment horizontal="center"/>
    </xf>
    <xf numFmtId="2" fontId="32" fillId="2" borderId="22" xfId="0" applyNumberFormat="1" applyFont="1" applyFill="1" applyBorder="1" applyAlignment="1">
      <alignment horizontal="center"/>
    </xf>
    <xf numFmtId="2" fontId="32" fillId="2" borderId="23" xfId="0" applyNumberFormat="1" applyFont="1" applyFill="1" applyBorder="1" applyAlignment="1">
      <alignment horizontal="center"/>
    </xf>
    <xf numFmtId="0" fontId="33" fillId="2" borderId="62" xfId="0" applyFont="1" applyFill="1" applyBorder="1" applyAlignment="1">
      <alignment vertical="center"/>
    </xf>
    <xf numFmtId="0" fontId="50" fillId="2" borderId="0" xfId="0" applyFont="1" applyFill="1" applyAlignment="1">
      <alignment horizontal="center"/>
    </xf>
    <xf numFmtId="0" fontId="50" fillId="2" borderId="64" xfId="0" applyFont="1" applyFill="1" applyBorder="1" applyAlignment="1">
      <alignment horizontal="center"/>
    </xf>
    <xf numFmtId="0" fontId="56" fillId="2" borderId="44" xfId="0" applyFont="1" applyFill="1" applyBorder="1" applyAlignment="1" applyProtection="1">
      <alignment horizontal="center" vertical="center" wrapText="1"/>
      <protection locked="0"/>
    </xf>
    <xf numFmtId="2" fontId="56" fillId="2" borderId="45" xfId="0" applyNumberFormat="1" applyFont="1" applyFill="1" applyBorder="1" applyAlignment="1" applyProtection="1">
      <alignment horizontal="center" vertical="center" wrapText="1"/>
      <protection locked="0"/>
    </xf>
    <xf numFmtId="2" fontId="56" fillId="2" borderId="46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26" xfId="0" applyFont="1" applyFill="1" applyBorder="1" applyAlignment="1" applyProtection="1">
      <alignment horizontal="center" vertical="center"/>
      <protection locked="0"/>
    </xf>
    <xf numFmtId="0" fontId="31" fillId="2" borderId="4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/>
    </xf>
    <xf numFmtId="0" fontId="31" fillId="2" borderId="62" xfId="0" applyFont="1" applyFill="1" applyBorder="1" applyAlignment="1" applyProtection="1">
      <alignment horizontal="center" vertical="center"/>
      <protection locked="0"/>
    </xf>
    <xf numFmtId="0" fontId="35" fillId="7" borderId="95" xfId="0" applyFont="1" applyFill="1" applyBorder="1" applyAlignment="1">
      <alignment horizontal="center" vertical="center"/>
    </xf>
    <xf numFmtId="2" fontId="35" fillId="7" borderId="95" xfId="0" applyNumberFormat="1" applyFont="1" applyFill="1" applyBorder="1" applyAlignment="1">
      <alignment horizontal="center" vertical="center"/>
    </xf>
    <xf numFmtId="0" fontId="35" fillId="7" borderId="75" xfId="0" applyFont="1" applyFill="1" applyBorder="1" applyAlignment="1">
      <alignment horizontal="center" vertical="center"/>
    </xf>
    <xf numFmtId="2" fontId="35" fillId="7" borderId="75" xfId="0" applyNumberFormat="1" applyFont="1" applyFill="1" applyBorder="1" applyAlignment="1">
      <alignment horizontal="center" vertical="center"/>
    </xf>
    <xf numFmtId="0" fontId="30" fillId="2" borderId="62" xfId="0" applyFont="1" applyFill="1" applyBorder="1" applyAlignment="1" applyProtection="1">
      <alignment horizontal="center" vertical="center" wrapText="1"/>
      <protection locked="0"/>
    </xf>
    <xf numFmtId="165" fontId="8" fillId="2" borderId="9" xfId="0" applyNumberFormat="1" applyFont="1" applyFill="1" applyBorder="1" applyAlignment="1" applyProtection="1">
      <alignment horizontal="center" vertical="center"/>
      <protection locked="0"/>
    </xf>
    <xf numFmtId="165" fontId="8" fillId="2" borderId="24" xfId="0" applyNumberFormat="1" applyFont="1" applyFill="1" applyBorder="1" applyAlignment="1" applyProtection="1">
      <alignment horizontal="center" vertical="center"/>
      <protection locked="0"/>
    </xf>
    <xf numFmtId="0" fontId="8" fillId="2" borderId="67" xfId="0" applyFont="1" applyFill="1" applyBorder="1" applyAlignment="1" applyProtection="1">
      <alignment horizontal="center" vertical="center"/>
      <protection locked="0"/>
    </xf>
    <xf numFmtId="0" fontId="56" fillId="2" borderId="9" xfId="0" applyFont="1" applyFill="1" applyBorder="1" applyAlignment="1" applyProtection="1">
      <alignment horizontal="left" vertical="center" wrapText="1"/>
      <protection locked="0"/>
    </xf>
    <xf numFmtId="0" fontId="56" fillId="2" borderId="9" xfId="0" applyFont="1" applyFill="1" applyBorder="1" applyAlignment="1" applyProtection="1">
      <alignment vertical="center" wrapText="1"/>
      <protection locked="0"/>
    </xf>
    <xf numFmtId="165" fontId="8" fillId="2" borderId="31" xfId="0" applyNumberFormat="1" applyFont="1" applyFill="1" applyBorder="1" applyAlignment="1" applyProtection="1">
      <alignment horizontal="center" vertical="center"/>
      <protection locked="0"/>
    </xf>
    <xf numFmtId="0" fontId="56" fillId="2" borderId="60" xfId="0" applyFont="1" applyFill="1" applyBorder="1" applyAlignment="1" applyProtection="1">
      <alignment horizontal="center" vertical="center" wrapText="1"/>
      <protection locked="0"/>
    </xf>
    <xf numFmtId="165" fontId="8" fillId="2" borderId="61" xfId="0" applyNumberFormat="1" applyFont="1" applyFill="1" applyBorder="1" applyAlignment="1" applyProtection="1">
      <alignment horizontal="center" vertical="center"/>
      <protection locked="0"/>
    </xf>
    <xf numFmtId="165" fontId="8" fillId="2" borderId="60" xfId="0" applyNumberFormat="1" applyFont="1" applyFill="1" applyBorder="1" applyAlignment="1" applyProtection="1">
      <alignment horizontal="center" vertical="center"/>
      <protection locked="0"/>
    </xf>
    <xf numFmtId="165" fontId="23" fillId="2" borderId="0" xfId="0" applyNumberFormat="1" applyFont="1" applyFill="1" applyAlignment="1" applyProtection="1">
      <alignment horizontal="center" vertical="center"/>
      <protection locked="0"/>
    </xf>
    <xf numFmtId="165" fontId="8" fillId="2" borderId="0" xfId="19" applyNumberFormat="1" applyFont="1" applyFill="1" applyAlignment="1" applyProtection="1">
      <alignment horizontal="center" vertical="center"/>
      <protection locked="0"/>
    </xf>
    <xf numFmtId="165" fontId="8" fillId="2" borderId="32" xfId="0" applyNumberFormat="1" applyFont="1" applyFill="1" applyBorder="1" applyAlignment="1" applyProtection="1">
      <alignment horizontal="center" vertical="center"/>
      <protection locked="0"/>
    </xf>
    <xf numFmtId="165" fontId="8" fillId="2" borderId="34" xfId="0" applyNumberFormat="1" applyFont="1" applyFill="1" applyBorder="1" applyAlignment="1" applyProtection="1">
      <alignment horizontal="center" vertical="center"/>
      <protection locked="0"/>
    </xf>
    <xf numFmtId="165" fontId="8" fillId="2" borderId="6" xfId="0" applyNumberFormat="1" applyFont="1" applyFill="1" applyBorder="1" applyAlignment="1" applyProtection="1">
      <alignment horizontal="center" vertical="center"/>
      <protection locked="0"/>
    </xf>
    <xf numFmtId="165" fontId="8" fillId="2" borderId="53" xfId="0" applyNumberFormat="1" applyFont="1" applyFill="1" applyBorder="1" applyAlignment="1" applyProtection="1">
      <alignment horizontal="center" vertical="center"/>
      <protection locked="0"/>
    </xf>
    <xf numFmtId="165" fontId="8" fillId="2" borderId="68" xfId="0" applyNumberFormat="1" applyFont="1" applyFill="1" applyBorder="1" applyAlignment="1" applyProtection="1">
      <alignment horizontal="center" vertical="center"/>
      <protection locked="0"/>
    </xf>
    <xf numFmtId="165" fontId="23" fillId="2" borderId="0" xfId="0" applyNumberFormat="1" applyFont="1" applyFill="1" applyAlignment="1" applyProtection="1">
      <alignment horizontal="left" vertical="top"/>
      <protection locked="0"/>
    </xf>
    <xf numFmtId="0" fontId="39" fillId="2" borderId="9" xfId="0" applyFont="1" applyFill="1" applyBorder="1" applyAlignment="1">
      <alignment horizontal="center"/>
    </xf>
    <xf numFmtId="166" fontId="33" fillId="2" borderId="60" xfId="0" applyNumberFormat="1" applyFont="1" applyFill="1" applyBorder="1" applyAlignment="1">
      <alignment horizontal="center" vertical="center"/>
    </xf>
    <xf numFmtId="166" fontId="33" fillId="2" borderId="31" xfId="0" applyNumberFormat="1" applyFont="1" applyFill="1" applyBorder="1" applyAlignment="1">
      <alignment horizontal="center" vertical="center"/>
    </xf>
    <xf numFmtId="166" fontId="33" fillId="2" borderId="8" xfId="19" applyNumberFormat="1" applyFont="1" applyFill="1" applyBorder="1" applyAlignment="1">
      <alignment horizontal="center" vertical="center"/>
    </xf>
    <xf numFmtId="166" fontId="33" fillId="2" borderId="8" xfId="0" applyNumberFormat="1" applyFont="1" applyFill="1" applyBorder="1" applyAlignment="1">
      <alignment horizontal="center" vertical="center"/>
    </xf>
    <xf numFmtId="166" fontId="33" fillId="2" borderId="0" xfId="0" applyNumberFormat="1" applyFont="1" applyFill="1" applyAlignment="1">
      <alignment horizontal="center" vertical="center"/>
    </xf>
    <xf numFmtId="166" fontId="33" fillId="2" borderId="62" xfId="0" applyNumberFormat="1" applyFont="1" applyFill="1" applyBorder="1" applyAlignment="1">
      <alignment horizontal="center" vertical="center"/>
    </xf>
    <xf numFmtId="166" fontId="33" fillId="2" borderId="24" xfId="0" applyNumberFormat="1" applyFont="1" applyFill="1" applyBorder="1" applyAlignment="1">
      <alignment horizontal="center" vertical="center"/>
    </xf>
    <xf numFmtId="166" fontId="33" fillId="2" borderId="36" xfId="0" applyNumberFormat="1" applyFont="1" applyFill="1" applyBorder="1" applyAlignment="1">
      <alignment horizontal="center" vertical="center"/>
    </xf>
    <xf numFmtId="166" fontId="33" fillId="2" borderId="8" xfId="0" applyNumberFormat="1" applyFont="1" applyFill="1" applyBorder="1" applyAlignment="1">
      <alignment horizontal="center"/>
    </xf>
    <xf numFmtId="166" fontId="33" fillId="2" borderId="0" xfId="0" applyNumberFormat="1" applyFont="1" applyFill="1" applyAlignment="1">
      <alignment horizontal="center"/>
    </xf>
    <xf numFmtId="166" fontId="33" fillId="2" borderId="1" xfId="0" applyNumberFormat="1" applyFont="1" applyFill="1" applyBorder="1" applyAlignment="1">
      <alignment horizontal="center"/>
    </xf>
    <xf numFmtId="166" fontId="33" fillId="2" borderId="24" xfId="0" applyNumberFormat="1" applyFont="1" applyFill="1" applyBorder="1" applyAlignment="1">
      <alignment horizontal="center"/>
    </xf>
    <xf numFmtId="166" fontId="35" fillId="7" borderId="62" xfId="0" applyNumberFormat="1" applyFont="1" applyFill="1" applyBorder="1" applyAlignment="1">
      <alignment horizontal="center" vertical="center"/>
    </xf>
    <xf numFmtId="166" fontId="46" fillId="2" borderId="1" xfId="10" applyNumberFormat="1" applyFont="1" applyFill="1" applyBorder="1" applyAlignment="1" applyProtection="1">
      <alignment horizontal="center" vertical="center"/>
      <protection locked="0"/>
    </xf>
    <xf numFmtId="165" fontId="8" fillId="2" borderId="7" xfId="0" applyNumberFormat="1" applyFont="1" applyFill="1" applyBorder="1" applyAlignment="1" applyProtection="1">
      <alignment horizontal="center" vertical="center"/>
      <protection locked="0"/>
    </xf>
    <xf numFmtId="166" fontId="8" fillId="2" borderId="1" xfId="0" applyNumberFormat="1" applyFont="1" applyFill="1" applyBorder="1" applyAlignment="1" applyProtection="1">
      <alignment horizontal="center" vertical="center"/>
      <protection locked="0"/>
    </xf>
    <xf numFmtId="166" fontId="33" fillId="2" borderId="0" xfId="19" applyNumberFormat="1" applyFont="1" applyFill="1" applyAlignment="1" applyProtection="1">
      <alignment horizontal="center" vertical="center"/>
      <protection locked="0"/>
    </xf>
    <xf numFmtId="166" fontId="8" fillId="2" borderId="0" xfId="0" applyNumberFormat="1" applyFont="1" applyFill="1" applyAlignment="1" applyProtection="1">
      <alignment horizontal="center" vertical="center"/>
      <protection locked="0"/>
    </xf>
    <xf numFmtId="165" fontId="33" fillId="2" borderId="1" xfId="0" applyNumberFormat="1" applyFont="1" applyFill="1" applyBorder="1" applyAlignment="1" applyProtection="1">
      <alignment horizontal="center" vertical="center"/>
      <protection locked="0"/>
    </xf>
    <xf numFmtId="165" fontId="33" fillId="2" borderId="0" xfId="0" applyNumberFormat="1" applyFont="1" applyFill="1" applyAlignment="1" applyProtection="1">
      <alignment horizontal="center" vertical="center"/>
      <protection locked="0"/>
    </xf>
    <xf numFmtId="165" fontId="8" fillId="2" borderId="1" xfId="19" applyNumberFormat="1" applyFont="1" applyFill="1" applyBorder="1" applyAlignment="1" applyProtection="1">
      <alignment horizontal="center" vertical="center"/>
      <protection locked="0"/>
    </xf>
    <xf numFmtId="165" fontId="8" fillId="2" borderId="24" xfId="19" applyNumberFormat="1" applyFont="1" applyFill="1" applyBorder="1" applyAlignment="1" applyProtection="1">
      <alignment horizontal="center" vertical="center"/>
      <protection locked="0"/>
    </xf>
    <xf numFmtId="165" fontId="8" fillId="2" borderId="36" xfId="0" applyNumberFormat="1" applyFont="1" applyFill="1" applyBorder="1" applyAlignment="1" applyProtection="1">
      <alignment horizontal="center" vertical="center"/>
      <protection locked="0"/>
    </xf>
    <xf numFmtId="165" fontId="23" fillId="2" borderId="64" xfId="0" applyNumberFormat="1" applyFont="1" applyFill="1" applyBorder="1" applyAlignment="1" applyProtection="1">
      <alignment horizontal="center" vertical="center"/>
      <protection locked="0"/>
    </xf>
    <xf numFmtId="165" fontId="8" fillId="2" borderId="69" xfId="0" applyNumberFormat="1" applyFont="1" applyFill="1" applyBorder="1" applyAlignment="1" applyProtection="1">
      <alignment horizontal="center" vertical="center"/>
      <protection locked="0"/>
    </xf>
    <xf numFmtId="165" fontId="8" fillId="2" borderId="0" xfId="0" applyNumberFormat="1" applyFont="1" applyFill="1" applyAlignment="1" applyProtection="1">
      <alignment horizontal="center" vertical="center" wrapText="1"/>
      <protection locked="0"/>
    </xf>
    <xf numFmtId="165" fontId="8" fillId="2" borderId="13" xfId="0" applyNumberFormat="1" applyFont="1" applyFill="1" applyBorder="1" applyAlignment="1" applyProtection="1">
      <alignment horizontal="center" vertical="center"/>
      <protection locked="0"/>
    </xf>
    <xf numFmtId="165" fontId="8" fillId="2" borderId="70" xfId="0" applyNumberFormat="1" applyFont="1" applyFill="1" applyBorder="1" applyAlignment="1" applyProtection="1">
      <alignment horizontal="center" vertical="center"/>
      <protection locked="0"/>
    </xf>
    <xf numFmtId="166" fontId="8" fillId="2" borderId="8" xfId="19" applyNumberFormat="1" applyFont="1" applyFill="1" applyBorder="1" applyAlignment="1" applyProtection="1">
      <alignment horizontal="center" vertical="center"/>
      <protection locked="0"/>
    </xf>
    <xf numFmtId="0" fontId="56" fillId="2" borderId="1" xfId="0" applyFont="1" applyFill="1" applyBorder="1" applyAlignment="1" applyProtection="1">
      <alignment horizontal="center" vertical="center" wrapText="1"/>
      <protection locked="0"/>
    </xf>
    <xf numFmtId="166" fontId="8" fillId="2" borderId="1" xfId="19" applyNumberFormat="1" applyFont="1" applyFill="1" applyBorder="1" applyAlignment="1" applyProtection="1">
      <alignment horizontal="center" vertical="center" wrapText="1"/>
      <protection locked="0"/>
    </xf>
    <xf numFmtId="165" fontId="8" fillId="2" borderId="62" xfId="0" applyNumberFormat="1" applyFont="1" applyFill="1" applyBorder="1" applyAlignment="1" applyProtection="1">
      <alignment horizontal="center" vertical="center"/>
      <protection locked="0"/>
    </xf>
    <xf numFmtId="165" fontId="8" fillId="2" borderId="2" xfId="0" applyNumberFormat="1" applyFont="1" applyFill="1" applyBorder="1" applyAlignment="1" applyProtection="1">
      <alignment horizontal="center" vertical="center"/>
      <protection locked="0"/>
    </xf>
    <xf numFmtId="0" fontId="8" fillId="2" borderId="67" xfId="0" applyFont="1" applyFill="1" applyBorder="1" applyAlignment="1" applyProtection="1">
      <alignment horizontal="right" vertical="center"/>
      <protection locked="0"/>
    </xf>
    <xf numFmtId="165" fontId="30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64" fillId="2" borderId="7" xfId="0" applyFont="1" applyFill="1" applyBorder="1" applyAlignment="1">
      <alignment vertical="center"/>
    </xf>
    <xf numFmtId="0" fontId="64" fillId="2" borderId="6" xfId="0" applyFont="1" applyFill="1" applyBorder="1" applyAlignment="1">
      <alignment vertical="center"/>
    </xf>
    <xf numFmtId="0" fontId="64" fillId="2" borderId="8" xfId="0" applyFont="1" applyFill="1" applyBorder="1" applyAlignment="1">
      <alignment vertical="center"/>
    </xf>
    <xf numFmtId="165" fontId="8" fillId="2" borderId="64" xfId="0" applyNumberFormat="1" applyFont="1" applyFill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65" xfId="0" applyFont="1" applyFill="1" applyBorder="1" applyAlignment="1" applyProtection="1">
      <alignment horizontal="center" vertical="center"/>
      <protection locked="0"/>
    </xf>
    <xf numFmtId="165" fontId="8" fillId="8" borderId="31" xfId="0" applyNumberFormat="1" applyFont="1" applyFill="1" applyBorder="1" applyAlignment="1" applyProtection="1">
      <alignment horizontal="center" vertical="center"/>
      <protection locked="0"/>
    </xf>
    <xf numFmtId="165" fontId="8" fillId="2" borderId="59" xfId="0" applyNumberFormat="1" applyFont="1" applyFill="1" applyBorder="1" applyAlignment="1" applyProtection="1">
      <alignment horizontal="center" vertical="center"/>
      <protection locked="0"/>
    </xf>
    <xf numFmtId="0" fontId="33" fillId="2" borderId="64" xfId="0" applyFont="1" applyFill="1" applyBorder="1"/>
    <xf numFmtId="0" fontId="62" fillId="6" borderId="31" xfId="0" applyFont="1" applyFill="1" applyBorder="1" applyAlignment="1" applyProtection="1">
      <alignment horizontal="center" vertical="center"/>
      <protection locked="0"/>
    </xf>
    <xf numFmtId="0" fontId="60" fillId="2" borderId="0" xfId="0" applyFont="1" applyFill="1"/>
    <xf numFmtId="0" fontId="60" fillId="0" borderId="0" xfId="0" applyFont="1"/>
    <xf numFmtId="0" fontId="24" fillId="2" borderId="63" xfId="0" applyFont="1" applyFill="1" applyBorder="1" applyAlignment="1" applyProtection="1">
      <alignment vertical="center" wrapText="1"/>
      <protection locked="0"/>
    </xf>
    <xf numFmtId="0" fontId="33" fillId="2" borderId="61" xfId="0" applyFont="1" applyFill="1" applyBorder="1" applyAlignment="1" applyProtection="1">
      <alignment vertical="center"/>
      <protection locked="0"/>
    </xf>
    <xf numFmtId="0" fontId="33" fillId="2" borderId="13" xfId="0" applyFont="1" applyFill="1" applyBorder="1" applyAlignment="1">
      <alignment horizontal="left" vertical="center"/>
    </xf>
    <xf numFmtId="0" fontId="23" fillId="2" borderId="62" xfId="0" applyFont="1" applyFill="1" applyBorder="1" applyAlignment="1" applyProtection="1">
      <alignment vertical="center"/>
      <protection locked="0"/>
    </xf>
    <xf numFmtId="0" fontId="65" fillId="2" borderId="0" xfId="0" applyFont="1" applyFill="1" applyAlignment="1">
      <alignment horizontal="right"/>
    </xf>
    <xf numFmtId="0" fontId="32" fillId="2" borderId="7" xfId="0" applyFont="1" applyFill="1" applyBorder="1" applyAlignment="1">
      <alignment vertical="center"/>
    </xf>
    <xf numFmtId="0" fontId="33" fillId="4" borderId="1" xfId="0" applyFont="1" applyFill="1" applyBorder="1" applyAlignment="1">
      <alignment horizontal="left" vertical="center"/>
    </xf>
    <xf numFmtId="2" fontId="30" fillId="2" borderId="5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8" fillId="2" borderId="20" xfId="0" applyFont="1" applyFill="1" applyBorder="1" applyAlignment="1" applyProtection="1">
      <alignment horizontal="left" vertical="center"/>
      <protection locked="0"/>
    </xf>
    <xf numFmtId="0" fontId="33" fillId="2" borderId="6" xfId="0" applyFont="1" applyFill="1" applyBorder="1" applyAlignment="1">
      <alignment horizontal="left"/>
    </xf>
    <xf numFmtId="0" fontId="8" fillId="0" borderId="1" xfId="0" applyFont="1" applyBorder="1" applyAlignment="1" applyProtection="1">
      <alignment horizontal="center" vertical="center"/>
      <protection locked="0"/>
    </xf>
    <xf numFmtId="2" fontId="8" fillId="2" borderId="3" xfId="0" applyNumberFormat="1" applyFont="1" applyFill="1" applyBorder="1" applyAlignment="1" applyProtection="1">
      <alignment horizontal="center" vertical="center"/>
      <protection locked="0"/>
    </xf>
    <xf numFmtId="0" fontId="33" fillId="2" borderId="8" xfId="0" applyFont="1" applyFill="1" applyBorder="1" applyAlignment="1" applyProtection="1">
      <alignment vertical="center"/>
      <protection locked="0"/>
    </xf>
    <xf numFmtId="0" fontId="8" fillId="2" borderId="1" xfId="11" applyFont="1" applyFill="1" applyBorder="1" applyAlignment="1" applyProtection="1">
      <alignment horizontal="center" vertical="center" wrapText="1"/>
      <protection locked="0"/>
    </xf>
    <xf numFmtId="0" fontId="55" fillId="2" borderId="36" xfId="0" applyFont="1" applyFill="1" applyBorder="1" applyAlignment="1" applyProtection="1">
      <alignment vertical="center"/>
      <protection locked="0"/>
    </xf>
    <xf numFmtId="0" fontId="55" fillId="2" borderId="8" xfId="11" applyFont="1" applyFill="1" applyBorder="1" applyAlignment="1" applyProtection="1">
      <alignment horizontal="left" vertical="center" wrapText="1"/>
      <protection locked="0"/>
    </xf>
    <xf numFmtId="0" fontId="55" fillId="2" borderId="8" xfId="0" applyFont="1" applyFill="1" applyBorder="1"/>
    <xf numFmtId="166" fontId="8" fillId="2" borderId="1" xfId="19" applyNumberFormat="1" applyFont="1" applyFill="1" applyBorder="1" applyAlignment="1" applyProtection="1">
      <alignment horizontal="center" vertical="center"/>
      <protection locked="0"/>
    </xf>
    <xf numFmtId="0" fontId="24" fillId="2" borderId="63" xfId="0" applyFont="1" applyFill="1" applyBorder="1" applyAlignment="1" applyProtection="1">
      <alignment horizontal="right" vertical="center" wrapText="1"/>
      <protection locked="0"/>
    </xf>
    <xf numFmtId="49" fontId="31" fillId="2" borderId="5" xfId="0" applyNumberFormat="1" applyFont="1" applyFill="1" applyBorder="1" applyAlignment="1">
      <alignment horizontal="center" vertical="center"/>
    </xf>
    <xf numFmtId="0" fontId="49" fillId="2" borderId="96" xfId="0" applyFont="1" applyFill="1" applyBorder="1" applyAlignment="1">
      <alignment horizontal="left" wrapText="1"/>
    </xf>
    <xf numFmtId="0" fontId="49" fillId="2" borderId="89" xfId="0" applyFont="1" applyFill="1" applyBorder="1" applyAlignment="1">
      <alignment horizontal="left" wrapText="1"/>
    </xf>
    <xf numFmtId="0" fontId="33" fillId="2" borderId="90" xfId="0" applyFont="1" applyFill="1" applyBorder="1"/>
    <xf numFmtId="0" fontId="49" fillId="2" borderId="6" xfId="0" applyFont="1" applyFill="1" applyBorder="1" applyAlignment="1">
      <alignment horizontal="left" wrapText="1"/>
    </xf>
    <xf numFmtId="0" fontId="49" fillId="2" borderId="7" xfId="0" applyFont="1" applyFill="1" applyBorder="1" applyAlignment="1">
      <alignment horizontal="left" wrapText="1"/>
    </xf>
    <xf numFmtId="0" fontId="49" fillId="2" borderId="8" xfId="0" applyFont="1" applyFill="1" applyBorder="1" applyAlignment="1">
      <alignment horizontal="left" wrapText="1"/>
    </xf>
    <xf numFmtId="0" fontId="53" fillId="2" borderId="24" xfId="0" applyFont="1" applyFill="1" applyBorder="1" applyAlignment="1">
      <alignment vertical="center"/>
    </xf>
    <xf numFmtId="166" fontId="8" fillId="2" borderId="6" xfId="19" applyNumberFormat="1" applyFont="1" applyFill="1" applyBorder="1" applyAlignment="1" applyProtection="1">
      <alignment horizontal="center" vertical="center"/>
      <protection locked="0"/>
    </xf>
    <xf numFmtId="166" fontId="8" fillId="2" borderId="7" xfId="19" applyNumberFormat="1" applyFont="1" applyFill="1" applyBorder="1" applyAlignment="1" applyProtection="1">
      <alignment horizontal="center" vertical="center"/>
      <protection locked="0"/>
    </xf>
    <xf numFmtId="2" fontId="8" fillId="7" borderId="3" xfId="0" applyNumberFormat="1" applyFont="1" applyFill="1" applyBorder="1" applyAlignment="1" applyProtection="1">
      <alignment horizontal="center" vertical="center"/>
      <protection locked="0"/>
    </xf>
    <xf numFmtId="2" fontId="8" fillId="7" borderId="2" xfId="0" applyNumberFormat="1" applyFont="1" applyFill="1" applyBorder="1" applyAlignment="1" applyProtection="1">
      <alignment horizontal="center" vertical="center"/>
      <protection locked="0"/>
    </xf>
    <xf numFmtId="0" fontId="8" fillId="7" borderId="3" xfId="0" applyFont="1" applyFill="1" applyBorder="1" applyAlignment="1" applyProtection="1">
      <alignment horizontal="center" vertical="center"/>
      <protection locked="0"/>
    </xf>
    <xf numFmtId="2" fontId="8" fillId="0" borderId="3" xfId="0" applyNumberFormat="1" applyFont="1" applyBorder="1" applyAlignment="1" applyProtection="1">
      <alignment horizontal="center" vertical="center"/>
      <protection locked="0"/>
    </xf>
    <xf numFmtId="2" fontId="35" fillId="7" borderId="52" xfId="0" applyNumberFormat="1" applyFont="1" applyFill="1" applyBorder="1" applyAlignment="1" applyProtection="1">
      <alignment horizontal="center" vertical="center"/>
      <protection locked="0"/>
    </xf>
    <xf numFmtId="2" fontId="35" fillId="7" borderId="65" xfId="0" applyNumberFormat="1" applyFont="1" applyFill="1" applyBorder="1" applyAlignment="1" applyProtection="1">
      <alignment horizontal="center" vertical="center"/>
      <protection locked="0"/>
    </xf>
    <xf numFmtId="0" fontId="35" fillId="7" borderId="52" xfId="0" applyFont="1" applyFill="1" applyBorder="1" applyAlignment="1" applyProtection="1">
      <alignment horizontal="center" vertical="center"/>
      <protection locked="0"/>
    </xf>
    <xf numFmtId="2" fontId="8" fillId="7" borderId="52" xfId="0" applyNumberFormat="1" applyFont="1" applyFill="1" applyBorder="1" applyAlignment="1" applyProtection="1">
      <alignment horizontal="center" vertical="center"/>
      <protection locked="0"/>
    </xf>
    <xf numFmtId="0" fontId="68" fillId="2" borderId="0" xfId="0" applyFont="1" applyFill="1"/>
    <xf numFmtId="0" fontId="68" fillId="2" borderId="0" xfId="0" applyFont="1" applyFill="1" applyAlignment="1">
      <alignment horizontal="center"/>
    </xf>
    <xf numFmtId="43" fontId="66" fillId="2" borderId="0" xfId="1" applyFont="1" applyFill="1" applyAlignment="1">
      <alignment horizontal="center" vertical="center"/>
    </xf>
    <xf numFmtId="0" fontId="0" fillId="2" borderId="0" xfId="0" applyFill="1"/>
    <xf numFmtId="0" fontId="69" fillId="2" borderId="0" xfId="0" applyFont="1" applyFill="1" applyAlignment="1">
      <alignment horizontal="left"/>
    </xf>
    <xf numFmtId="0" fontId="70" fillId="2" borderId="0" xfId="0" applyFont="1" applyFill="1" applyAlignment="1">
      <alignment horizontal="center"/>
    </xf>
    <xf numFmtId="43" fontId="70" fillId="2" borderId="0" xfId="1" applyFont="1" applyFill="1" applyAlignment="1">
      <alignment horizontal="center" vertical="center"/>
    </xf>
    <xf numFmtId="0" fontId="70" fillId="2" borderId="0" xfId="0" applyFont="1" applyFill="1" applyAlignment="1">
      <alignment horizontal="left"/>
    </xf>
    <xf numFmtId="0" fontId="71" fillId="2" borderId="0" xfId="0" applyFont="1" applyFill="1" applyAlignment="1">
      <alignment horizontal="left" wrapText="1"/>
    </xf>
    <xf numFmtId="0" fontId="72" fillId="2" borderId="0" xfId="0" applyFont="1" applyFill="1" applyAlignment="1">
      <alignment horizontal="center"/>
    </xf>
    <xf numFmtId="0" fontId="72" fillId="2" borderId="0" xfId="0" applyFont="1" applyFill="1"/>
    <xf numFmtId="0" fontId="70" fillId="2" borderId="0" xfId="0" applyFont="1" applyFill="1" applyAlignment="1">
      <alignment horizontal="left" wrapText="1"/>
    </xf>
    <xf numFmtId="43" fontId="72" fillId="2" borderId="0" xfId="1" applyFont="1" applyFill="1" applyAlignment="1">
      <alignment horizontal="center" vertical="center"/>
    </xf>
    <xf numFmtId="0" fontId="71" fillId="2" borderId="0" xfId="0" applyFont="1" applyFill="1" applyAlignment="1">
      <alignment horizontal="left"/>
    </xf>
    <xf numFmtId="0" fontId="71" fillId="2" borderId="0" xfId="0" applyFont="1" applyFill="1" applyAlignment="1">
      <alignment horizontal="center"/>
    </xf>
    <xf numFmtId="43" fontId="73" fillId="2" borderId="58" xfId="1" applyFont="1" applyFill="1" applyBorder="1" applyAlignment="1">
      <alignment horizontal="center" vertical="center"/>
    </xf>
    <xf numFmtId="0" fontId="73" fillId="2" borderId="0" xfId="0" applyFont="1" applyFill="1" applyAlignment="1">
      <alignment horizontal="left"/>
    </xf>
    <xf numFmtId="0" fontId="74" fillId="2" borderId="0" xfId="0" applyFont="1" applyFill="1" applyAlignment="1">
      <alignment horizontal="left"/>
    </xf>
    <xf numFmtId="0" fontId="70" fillId="2" borderId="0" xfId="0" quotePrefix="1" applyFont="1" applyFill="1" applyAlignment="1">
      <alignment horizontal="left"/>
    </xf>
    <xf numFmtId="0" fontId="70" fillId="2" borderId="0" xfId="0" quotePrefix="1" applyFont="1" applyFill="1" applyAlignment="1">
      <alignment horizontal="center"/>
    </xf>
    <xf numFmtId="0" fontId="67" fillId="2" borderId="0" xfId="0" applyFont="1" applyFill="1"/>
    <xf numFmtId="0" fontId="75" fillId="2" borderId="0" xfId="0" applyFont="1" applyFill="1" applyAlignment="1">
      <alignment horizontal="left"/>
    </xf>
    <xf numFmtId="0" fontId="72" fillId="2" borderId="60" xfId="0" applyFont="1" applyFill="1" applyBorder="1"/>
    <xf numFmtId="0" fontId="70" fillId="2" borderId="67" xfId="0" applyFont="1" applyFill="1" applyBorder="1"/>
    <xf numFmtId="43" fontId="70" fillId="2" borderId="67" xfId="1" applyFont="1" applyFill="1" applyBorder="1" applyAlignment="1">
      <alignment horizontal="center" vertical="center"/>
    </xf>
    <xf numFmtId="43" fontId="72" fillId="2" borderId="68" xfId="1" applyFont="1" applyFill="1" applyBorder="1"/>
    <xf numFmtId="0" fontId="76" fillId="2" borderId="69" xfId="0" applyFont="1" applyFill="1" applyBorder="1" applyAlignment="1">
      <alignment horizontal="left"/>
    </xf>
    <xf numFmtId="0" fontId="70" fillId="2" borderId="63" xfId="0" applyFont="1" applyFill="1" applyBorder="1"/>
    <xf numFmtId="0" fontId="77" fillId="2" borderId="69" xfId="0" applyFont="1" applyFill="1" applyBorder="1"/>
    <xf numFmtId="0" fontId="70" fillId="2" borderId="0" xfId="0" applyFont="1" applyFill="1"/>
    <xf numFmtId="43" fontId="70" fillId="2" borderId="63" xfId="1" applyFont="1" applyFill="1" applyBorder="1"/>
    <xf numFmtId="43" fontId="70" fillId="2" borderId="0" xfId="1" applyFont="1" applyFill="1" applyAlignment="1">
      <alignment horizontal="left" vertical="center"/>
    </xf>
    <xf numFmtId="0" fontId="76" fillId="2" borderId="61" xfId="0" applyFont="1" applyFill="1" applyBorder="1" applyAlignment="1">
      <alignment horizontal="left"/>
    </xf>
    <xf numFmtId="0" fontId="70" fillId="2" borderId="64" xfId="0" applyFont="1" applyFill="1" applyBorder="1" applyAlignment="1">
      <alignment horizontal="center"/>
    </xf>
    <xf numFmtId="43" fontId="70" fillId="2" borderId="64" xfId="1" applyFont="1" applyFill="1" applyBorder="1" applyAlignment="1">
      <alignment horizontal="center" vertical="center"/>
    </xf>
    <xf numFmtId="43" fontId="70" fillId="2" borderId="65" xfId="1" applyFont="1" applyFill="1" applyBorder="1" applyAlignment="1">
      <alignment horizontal="center"/>
    </xf>
    <xf numFmtId="0" fontId="78" fillId="2" borderId="0" xfId="0" applyFont="1" applyFill="1"/>
    <xf numFmtId="0" fontId="79" fillId="2" borderId="0" xfId="0" applyFont="1" applyFill="1" applyAlignment="1">
      <alignment horizontal="center"/>
    </xf>
    <xf numFmtId="0" fontId="80" fillId="2" borderId="0" xfId="0" applyFont="1" applyFill="1"/>
    <xf numFmtId="43" fontId="81" fillId="2" borderId="0" xfId="1" applyFont="1" applyFill="1" applyAlignment="1">
      <alignment horizontal="center" vertical="center"/>
    </xf>
    <xf numFmtId="43" fontId="72" fillId="2" borderId="0" xfId="1" applyFont="1" applyFill="1"/>
    <xf numFmtId="0" fontId="80" fillId="2" borderId="0" xfId="0" applyFont="1" applyFill="1" applyAlignment="1">
      <alignment horizontal="center"/>
    </xf>
    <xf numFmtId="0" fontId="82" fillId="2" borderId="0" xfId="0" applyFont="1" applyFill="1" applyAlignment="1" applyProtection="1">
      <alignment horizontal="right" vertical="center"/>
      <protection locked="0"/>
    </xf>
    <xf numFmtId="0" fontId="83" fillId="2" borderId="0" xfId="0" applyFont="1" applyFill="1" applyAlignment="1" applyProtection="1">
      <alignment horizontal="left" vertical="center"/>
      <protection locked="0"/>
    </xf>
    <xf numFmtId="0" fontId="83" fillId="2" borderId="0" xfId="0" applyFont="1" applyFill="1" applyAlignment="1" applyProtection="1">
      <alignment vertical="center"/>
      <protection locked="0"/>
    </xf>
    <xf numFmtId="0" fontId="83" fillId="2" borderId="0" xfId="0" applyFont="1" applyFill="1" applyAlignment="1" applyProtection="1">
      <alignment horizontal="center" vertical="center"/>
      <protection locked="0"/>
    </xf>
    <xf numFmtId="2" fontId="83" fillId="2" borderId="0" xfId="0" applyNumberFormat="1" applyFont="1" applyFill="1" applyAlignment="1" applyProtection="1">
      <alignment horizontal="center" vertical="center"/>
      <protection locked="0"/>
    </xf>
    <xf numFmtId="2" fontId="13" fillId="2" borderId="0" xfId="0" applyNumberFormat="1" applyFont="1" applyFill="1" applyAlignment="1" applyProtection="1">
      <alignment horizontal="center" vertical="center"/>
      <protection locked="0"/>
    </xf>
    <xf numFmtId="0" fontId="84" fillId="2" borderId="0" xfId="0" applyFont="1" applyFill="1" applyAlignment="1" applyProtection="1">
      <alignment horizontal="left" vertical="center"/>
      <protection locked="0"/>
    </xf>
    <xf numFmtId="0" fontId="85" fillId="2" borderId="0" xfId="0" applyFont="1" applyFill="1" applyAlignment="1" applyProtection="1">
      <alignment vertical="center"/>
      <protection locked="0"/>
    </xf>
    <xf numFmtId="0" fontId="87" fillId="2" borderId="31" xfId="0" applyFont="1" applyFill="1" applyBorder="1" applyAlignment="1" applyProtection="1">
      <alignment horizontal="left" vertical="center" wrapText="1"/>
      <protection locked="0"/>
    </xf>
    <xf numFmtId="0" fontId="87" fillId="2" borderId="1" xfId="0" applyFont="1" applyFill="1" applyBorder="1" applyAlignment="1" applyProtection="1">
      <alignment horizontal="left" vertical="center" wrapText="1"/>
      <protection locked="0"/>
    </xf>
    <xf numFmtId="0" fontId="87" fillId="2" borderId="1" xfId="0" applyFont="1" applyFill="1" applyBorder="1" applyAlignment="1" applyProtection="1">
      <alignment vertical="center" wrapText="1"/>
      <protection locked="0"/>
    </xf>
    <xf numFmtId="0" fontId="87" fillId="2" borderId="1" xfId="0" applyFont="1" applyFill="1" applyBorder="1" applyAlignment="1" applyProtection="1">
      <alignment horizontal="center" vertical="center" wrapText="1"/>
      <protection locked="0"/>
    </xf>
    <xf numFmtId="0" fontId="87" fillId="2" borderId="10" xfId="0" applyFont="1" applyFill="1" applyBorder="1" applyAlignment="1" applyProtection="1">
      <alignment horizontal="center" vertical="center" wrapText="1"/>
      <protection locked="0"/>
    </xf>
    <xf numFmtId="2" fontId="87" fillId="2" borderId="11" xfId="0" applyNumberFormat="1" applyFont="1" applyFill="1" applyBorder="1" applyAlignment="1" applyProtection="1">
      <alignment horizontal="center" vertical="center" wrapText="1"/>
      <protection locked="0"/>
    </xf>
    <xf numFmtId="2" fontId="87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87" fillId="2" borderId="14" xfId="0" applyFont="1" applyFill="1" applyBorder="1" applyAlignment="1" applyProtection="1">
      <alignment horizontal="center" vertical="center" wrapText="1"/>
      <protection locked="0"/>
    </xf>
    <xf numFmtId="2" fontId="87" fillId="2" borderId="4" xfId="0" applyNumberFormat="1" applyFont="1" applyFill="1" applyBorder="1" applyAlignment="1" applyProtection="1">
      <alignment horizontal="center" vertical="center" wrapText="1"/>
      <protection locked="0"/>
    </xf>
    <xf numFmtId="2" fontId="87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85" fillId="2" borderId="0" xfId="0" applyFont="1" applyFill="1" applyAlignment="1" applyProtection="1">
      <alignment horizontal="right" vertical="center"/>
      <protection locked="0"/>
    </xf>
    <xf numFmtId="0" fontId="85" fillId="2" borderId="1" xfId="0" applyFont="1" applyFill="1" applyBorder="1" applyAlignment="1" applyProtection="1">
      <alignment vertical="center"/>
      <protection locked="0"/>
    </xf>
    <xf numFmtId="0" fontId="85" fillId="2" borderId="1" xfId="0" applyFont="1" applyFill="1" applyBorder="1" applyAlignment="1" applyProtection="1">
      <alignment horizontal="center" vertical="center" wrapText="1"/>
      <protection locked="0"/>
    </xf>
    <xf numFmtId="0" fontId="85" fillId="2" borderId="1" xfId="0" applyFont="1" applyFill="1" applyBorder="1" applyAlignment="1" applyProtection="1">
      <alignment horizontal="center" vertical="center"/>
      <protection locked="0"/>
    </xf>
    <xf numFmtId="165" fontId="85" fillId="2" borderId="1" xfId="0" applyNumberFormat="1" applyFont="1" applyFill="1" applyBorder="1" applyAlignment="1" applyProtection="1">
      <alignment horizontal="center" vertical="center"/>
      <protection locked="0"/>
    </xf>
    <xf numFmtId="0" fontId="85" fillId="2" borderId="14" xfId="0" applyFont="1" applyFill="1" applyBorder="1" applyAlignment="1" applyProtection="1">
      <alignment horizontal="center" vertical="center"/>
      <protection locked="0"/>
    </xf>
    <xf numFmtId="2" fontId="85" fillId="2" borderId="4" xfId="0" applyNumberFormat="1" applyFont="1" applyFill="1" applyBorder="1" applyAlignment="1" applyProtection="1">
      <alignment horizontal="center" vertical="center"/>
      <protection locked="0"/>
    </xf>
    <xf numFmtId="2" fontId="85" fillId="2" borderId="5" xfId="0" applyNumberFormat="1" applyFont="1" applyFill="1" applyBorder="1" applyAlignment="1" applyProtection="1">
      <alignment horizontal="center" vertical="center"/>
      <protection locked="0"/>
    </xf>
    <xf numFmtId="0" fontId="85" fillId="4" borderId="0" xfId="0" applyFont="1" applyFill="1" applyAlignment="1">
      <alignment horizontal="center" vertical="center"/>
    </xf>
    <xf numFmtId="0" fontId="88" fillId="2" borderId="0" xfId="0" applyFont="1" applyFill="1" applyAlignment="1" applyProtection="1">
      <alignment horizontal="left" vertical="center"/>
      <protection locked="0"/>
    </xf>
    <xf numFmtId="0" fontId="85" fillId="2" borderId="0" xfId="0" applyFont="1" applyFill="1" applyAlignment="1" applyProtection="1">
      <alignment horizontal="center" vertical="center"/>
      <protection locked="0"/>
    </xf>
    <xf numFmtId="166" fontId="85" fillId="2" borderId="0" xfId="0" applyNumberFormat="1" applyFont="1" applyFill="1" applyAlignment="1" applyProtection="1">
      <alignment horizontal="center" vertical="center"/>
      <protection locked="0"/>
    </xf>
    <xf numFmtId="0" fontId="89" fillId="2" borderId="0" xfId="0" applyFont="1" applyFill="1" applyAlignment="1" applyProtection="1">
      <alignment vertical="center"/>
      <protection locked="0"/>
    </xf>
    <xf numFmtId="0" fontId="90" fillId="2" borderId="0" xfId="0" applyFont="1" applyFill="1" applyAlignment="1" applyProtection="1">
      <alignment horizontal="right" vertical="center"/>
      <protection locked="0"/>
    </xf>
    <xf numFmtId="0" fontId="87" fillId="2" borderId="9" xfId="0" applyFont="1" applyFill="1" applyBorder="1" applyAlignment="1" applyProtection="1">
      <alignment horizontal="left" vertical="center" wrapText="1"/>
      <protection locked="0"/>
    </xf>
    <xf numFmtId="0" fontId="87" fillId="2" borderId="9" xfId="0" applyFont="1" applyFill="1" applyBorder="1" applyAlignment="1" applyProtection="1">
      <alignment horizontal="center" vertical="center" wrapText="1"/>
      <protection locked="0"/>
    </xf>
    <xf numFmtId="0" fontId="85" fillId="2" borderId="32" xfId="0" applyFont="1" applyFill="1" applyBorder="1" applyAlignment="1" applyProtection="1">
      <alignment vertical="center"/>
      <protection locked="0"/>
    </xf>
    <xf numFmtId="0" fontId="85" fillId="2" borderId="49" xfId="0" applyFont="1" applyFill="1" applyBorder="1" applyAlignment="1" applyProtection="1">
      <alignment vertical="center"/>
      <protection locked="0"/>
    </xf>
    <xf numFmtId="0" fontId="85" fillId="2" borderId="70" xfId="0" applyFont="1" applyFill="1" applyBorder="1" applyAlignment="1" applyProtection="1">
      <alignment vertical="center"/>
      <protection locked="0"/>
    </xf>
    <xf numFmtId="0" fontId="85" fillId="2" borderId="74" xfId="0" applyFont="1" applyFill="1" applyBorder="1" applyAlignment="1" applyProtection="1">
      <alignment vertical="center"/>
      <protection locked="0"/>
    </xf>
    <xf numFmtId="0" fontId="85" fillId="2" borderId="33" xfId="0" applyFont="1" applyFill="1" applyBorder="1" applyAlignment="1" applyProtection="1">
      <alignment vertical="center"/>
      <protection locked="0"/>
    </xf>
    <xf numFmtId="0" fontId="85" fillId="2" borderId="51" xfId="0" applyFont="1" applyFill="1" applyBorder="1" applyAlignment="1" applyProtection="1">
      <alignment vertical="center"/>
      <protection locked="0"/>
    </xf>
    <xf numFmtId="0" fontId="85" fillId="2" borderId="34" xfId="0" applyFont="1" applyFill="1" applyBorder="1" applyAlignment="1" applyProtection="1">
      <alignment vertical="center"/>
      <protection locked="0"/>
    </xf>
    <xf numFmtId="0" fontId="85" fillId="2" borderId="53" xfId="0" applyFont="1" applyFill="1" applyBorder="1" applyAlignment="1" applyProtection="1">
      <alignment vertical="center"/>
      <protection locked="0"/>
    </xf>
    <xf numFmtId="0" fontId="91" fillId="2" borderId="0" xfId="0" applyFont="1" applyFill="1" applyAlignment="1" applyProtection="1">
      <alignment vertical="center"/>
      <protection locked="0"/>
    </xf>
    <xf numFmtId="2" fontId="85" fillId="2" borderId="0" xfId="0" applyNumberFormat="1" applyFont="1" applyFill="1" applyAlignment="1" applyProtection="1">
      <alignment horizontal="center" vertical="center"/>
      <protection locked="0"/>
    </xf>
    <xf numFmtId="0" fontId="92" fillId="2" borderId="0" xfId="0" applyFont="1" applyFill="1" applyAlignment="1" applyProtection="1">
      <alignment horizontal="left" vertical="center"/>
      <protection locked="0"/>
    </xf>
    <xf numFmtId="0" fontId="87" fillId="2" borderId="9" xfId="0" applyFont="1" applyFill="1" applyBorder="1" applyAlignment="1" applyProtection="1">
      <alignment vertical="center" wrapText="1"/>
      <protection locked="0"/>
    </xf>
    <xf numFmtId="0" fontId="85" fillId="2" borderId="6" xfId="0" applyFont="1" applyFill="1" applyBorder="1" applyAlignment="1" applyProtection="1">
      <alignment vertical="center"/>
      <protection locked="0"/>
    </xf>
    <xf numFmtId="0" fontId="85" fillId="2" borderId="24" xfId="0" applyFont="1" applyFill="1" applyBorder="1" applyAlignment="1" applyProtection="1">
      <alignment vertical="center"/>
      <protection locked="0"/>
    </xf>
    <xf numFmtId="0" fontId="85" fillId="2" borderId="61" xfId="0" applyFont="1" applyFill="1" applyBorder="1" applyAlignment="1" applyProtection="1">
      <alignment vertical="center"/>
      <protection locked="0"/>
    </xf>
    <xf numFmtId="0" fontId="85" fillId="2" borderId="25" xfId="0" applyFont="1" applyFill="1" applyBorder="1" applyAlignment="1" applyProtection="1">
      <alignment horizontal="center" vertical="center"/>
      <protection locked="0"/>
    </xf>
    <xf numFmtId="2" fontId="85" fillId="2" borderId="26" xfId="0" applyNumberFormat="1" applyFont="1" applyFill="1" applyBorder="1" applyAlignment="1" applyProtection="1">
      <alignment horizontal="center" vertical="center"/>
      <protection locked="0"/>
    </xf>
    <xf numFmtId="0" fontId="85" fillId="2" borderId="0" xfId="0" applyFont="1" applyFill="1" applyAlignment="1" applyProtection="1">
      <alignment horizontal="left" vertical="center"/>
      <protection locked="0"/>
    </xf>
    <xf numFmtId="0" fontId="93" fillId="2" borderId="0" xfId="0" applyFont="1" applyFill="1" applyAlignment="1" applyProtection="1">
      <alignment horizontal="right" vertical="center"/>
      <protection locked="0"/>
    </xf>
    <xf numFmtId="0" fontId="85" fillId="2" borderId="31" xfId="0" applyFont="1" applyFill="1" applyBorder="1" applyAlignment="1" applyProtection="1">
      <alignment horizontal="left" vertical="center"/>
      <protection locked="0"/>
    </xf>
    <xf numFmtId="2" fontId="85" fillId="2" borderId="3" xfId="0" applyNumberFormat="1" applyFont="1" applyFill="1" applyBorder="1" applyAlignment="1" applyProtection="1">
      <alignment horizontal="center" vertical="center"/>
      <protection locked="0"/>
    </xf>
    <xf numFmtId="2" fontId="85" fillId="2" borderId="2" xfId="0" applyNumberFormat="1" applyFont="1" applyFill="1" applyBorder="1" applyAlignment="1" applyProtection="1">
      <alignment horizontal="center" vertical="center"/>
      <protection locked="0"/>
    </xf>
    <xf numFmtId="0" fontId="87" fillId="2" borderId="37" xfId="0" applyFont="1" applyFill="1" applyBorder="1" applyAlignment="1" applyProtection="1">
      <alignment horizontal="center" vertical="center" wrapText="1"/>
      <protection locked="0"/>
    </xf>
    <xf numFmtId="0" fontId="85" fillId="2" borderId="8" xfId="0" applyFont="1" applyFill="1" applyBorder="1" applyAlignment="1" applyProtection="1">
      <alignment vertical="center"/>
      <protection locked="0"/>
    </xf>
    <xf numFmtId="0" fontId="87" fillId="2" borderId="0" xfId="0" applyFont="1" applyFill="1" applyAlignment="1" applyProtection="1">
      <alignment horizontal="center" vertical="center" wrapText="1"/>
      <protection locked="0"/>
    </xf>
    <xf numFmtId="2" fontId="87" fillId="2" borderId="0" xfId="0" applyNumberFormat="1" applyFont="1" applyFill="1" applyAlignment="1" applyProtection="1">
      <alignment horizontal="center" vertical="center" wrapText="1"/>
      <protection locked="0"/>
    </xf>
    <xf numFmtId="165" fontId="85" fillId="2" borderId="0" xfId="0" applyNumberFormat="1" applyFont="1" applyFill="1" applyAlignment="1" applyProtection="1">
      <alignment horizontal="center" vertical="center"/>
      <protection locked="0"/>
    </xf>
    <xf numFmtId="0" fontId="87" fillId="2" borderId="60" xfId="0" applyFont="1" applyFill="1" applyBorder="1" applyAlignment="1" applyProtection="1">
      <alignment horizontal="left" vertical="center" wrapText="1"/>
      <protection locked="0"/>
    </xf>
    <xf numFmtId="0" fontId="85" fillId="2" borderId="59" xfId="0" applyFont="1" applyFill="1" applyBorder="1" applyAlignment="1" applyProtection="1">
      <alignment horizontal="center" vertical="center"/>
      <protection locked="0"/>
    </xf>
    <xf numFmtId="43" fontId="84" fillId="2" borderId="0" xfId="1" applyFont="1" applyFill="1" applyAlignment="1" applyProtection="1">
      <alignment horizontal="left" vertical="center"/>
      <protection locked="0"/>
    </xf>
    <xf numFmtId="43" fontId="85" fillId="2" borderId="1" xfId="1" applyFont="1" applyFill="1" applyBorder="1" applyAlignment="1" applyProtection="1">
      <alignment horizontal="center" vertical="center"/>
      <protection locked="0"/>
    </xf>
    <xf numFmtId="0" fontId="85" fillId="2" borderId="2" xfId="0" applyFont="1" applyFill="1" applyBorder="1" applyAlignment="1" applyProtection="1">
      <alignment horizontal="left" vertical="center"/>
      <protection locked="0"/>
    </xf>
    <xf numFmtId="0" fontId="94" fillId="2" borderId="0" xfId="17" applyFont="1" applyFill="1" applyAlignment="1">
      <alignment horizontal="left"/>
    </xf>
    <xf numFmtId="0" fontId="85" fillId="2" borderId="14" xfId="0" applyFont="1" applyFill="1" applyBorder="1" applyAlignment="1" applyProtection="1">
      <alignment vertical="center"/>
      <protection locked="0"/>
    </xf>
    <xf numFmtId="0" fontId="85" fillId="2" borderId="4" xfId="0" applyFont="1" applyFill="1" applyBorder="1" applyAlignment="1" applyProtection="1">
      <alignment horizontal="center" vertical="center"/>
      <protection locked="0"/>
    </xf>
    <xf numFmtId="0" fontId="85" fillId="2" borderId="4" xfId="0" applyFont="1" applyFill="1" applyBorder="1" applyAlignment="1" applyProtection="1">
      <alignment vertical="center"/>
      <protection locked="0"/>
    </xf>
    <xf numFmtId="2" fontId="85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85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5" fillId="2" borderId="4" xfId="0" applyFont="1" applyFill="1" applyBorder="1" applyAlignment="1" applyProtection="1">
      <alignment horizontal="center" vertical="center" wrapText="1"/>
      <protection locked="0"/>
    </xf>
    <xf numFmtId="2" fontId="85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24" fillId="2" borderId="0" xfId="0" applyFont="1" applyFill="1"/>
    <xf numFmtId="0" fontId="27" fillId="2" borderId="0" xfId="0" applyFont="1" applyFill="1" applyAlignment="1">
      <alignment horizontal="left"/>
    </xf>
    <xf numFmtId="0" fontId="34" fillId="2" borderId="0" xfId="0" applyFont="1" applyFill="1"/>
    <xf numFmtId="0" fontId="30" fillId="2" borderId="1" xfId="0" applyFont="1" applyFill="1" applyBorder="1" applyAlignment="1">
      <alignment wrapText="1"/>
    </xf>
    <xf numFmtId="0" fontId="30" fillId="2" borderId="2" xfId="0" applyFont="1" applyFill="1" applyBorder="1" applyAlignment="1">
      <alignment wrapText="1"/>
    </xf>
    <xf numFmtId="0" fontId="8" fillId="2" borderId="0" xfId="0" applyFont="1" applyFill="1" applyAlignment="1">
      <alignment horizontal="right"/>
    </xf>
    <xf numFmtId="0" fontId="8" fillId="2" borderId="74" xfId="0" applyFont="1" applyFill="1" applyBorder="1"/>
    <xf numFmtId="0" fontId="8" fillId="2" borderId="65" xfId="0" applyFont="1" applyFill="1" applyBorder="1"/>
    <xf numFmtId="0" fontId="24" fillId="5" borderId="0" xfId="0" applyFont="1" applyFill="1"/>
    <xf numFmtId="0" fontId="8" fillId="5" borderId="0" xfId="0" applyFont="1" applyFill="1"/>
    <xf numFmtId="0" fontId="88" fillId="2" borderId="1" xfId="0" applyFont="1" applyFill="1" applyBorder="1" applyAlignment="1">
      <alignment horizontal="left"/>
    </xf>
    <xf numFmtId="0" fontId="95" fillId="2" borderId="32" xfId="0" applyFont="1" applyFill="1" applyBorder="1" applyAlignment="1">
      <alignment horizontal="left" vertical="top"/>
    </xf>
    <xf numFmtId="0" fontId="95" fillId="2" borderId="7" xfId="0" applyFont="1" applyFill="1" applyBorder="1" applyAlignment="1">
      <alignment horizontal="left" vertical="top"/>
    </xf>
    <xf numFmtId="0" fontId="85" fillId="2" borderId="15" xfId="0" applyFont="1" applyFill="1" applyBorder="1" applyAlignment="1" applyProtection="1">
      <alignment horizontal="center" vertical="center"/>
      <protection locked="0"/>
    </xf>
    <xf numFmtId="2" fontId="85" fillId="2" borderId="16" xfId="0" applyNumberFormat="1" applyFont="1" applyFill="1" applyBorder="1" applyAlignment="1" applyProtection="1">
      <alignment horizontal="center" vertical="center"/>
      <protection locked="0"/>
    </xf>
    <xf numFmtId="2" fontId="85" fillId="2" borderId="17" xfId="0" applyNumberFormat="1" applyFont="1" applyFill="1" applyBorder="1" applyAlignment="1" applyProtection="1">
      <alignment horizontal="center" vertical="center"/>
      <protection locked="0"/>
    </xf>
    <xf numFmtId="0" fontId="95" fillId="2" borderId="33" xfId="0" applyFont="1" applyFill="1" applyBorder="1" applyAlignment="1">
      <alignment horizontal="left" vertical="top"/>
    </xf>
    <xf numFmtId="0" fontId="95" fillId="2" borderId="34" xfId="0" applyFont="1" applyFill="1" applyBorder="1" applyAlignment="1">
      <alignment horizontal="left" vertical="top"/>
    </xf>
    <xf numFmtId="0" fontId="95" fillId="2" borderId="8" xfId="0" applyFont="1" applyFill="1" applyBorder="1" applyAlignment="1">
      <alignment horizontal="left" vertical="top"/>
    </xf>
    <xf numFmtId="0" fontId="88" fillId="2" borderId="0" xfId="0" applyFont="1" applyFill="1" applyProtection="1">
      <protection locked="0"/>
    </xf>
    <xf numFmtId="0" fontId="27" fillId="2" borderId="0" xfId="0" applyFont="1" applyFill="1"/>
    <xf numFmtId="0" fontId="23" fillId="2" borderId="0" xfId="0" applyFont="1" applyFill="1"/>
    <xf numFmtId="0" fontId="96" fillId="2" borderId="0" xfId="0" applyFont="1" applyFill="1" applyAlignment="1" applyProtection="1">
      <alignment horizontal="right" vertical="center" wrapText="1"/>
      <protection locked="0"/>
    </xf>
    <xf numFmtId="0" fontId="85" fillId="2" borderId="60" xfId="0" applyFont="1" applyFill="1" applyBorder="1" applyAlignment="1" applyProtection="1">
      <alignment vertical="center"/>
      <protection locked="0"/>
    </xf>
    <xf numFmtId="0" fontId="85" fillId="2" borderId="9" xfId="0" applyFont="1" applyFill="1" applyBorder="1" applyAlignment="1" applyProtection="1">
      <alignment vertical="center"/>
      <protection locked="0"/>
    </xf>
    <xf numFmtId="0" fontId="85" fillId="2" borderId="34" xfId="0" applyFont="1" applyFill="1" applyBorder="1" applyAlignment="1" applyProtection="1">
      <alignment horizontal="left" vertical="center"/>
      <protection locked="0"/>
    </xf>
    <xf numFmtId="0" fontId="85" fillId="2" borderId="8" xfId="0" applyFont="1" applyFill="1" applyBorder="1" applyAlignment="1" applyProtection="1">
      <alignment horizontal="left" vertical="center"/>
      <protection locked="0"/>
    </xf>
    <xf numFmtId="0" fontId="85" fillId="2" borderId="0" xfId="0" applyFont="1" applyFill="1" applyAlignment="1">
      <alignment horizontal="left" vertical="center"/>
    </xf>
    <xf numFmtId="0" fontId="88" fillId="2" borderId="0" xfId="0" applyFont="1" applyFill="1" applyAlignment="1" applyProtection="1">
      <alignment horizontal="center" vertical="center"/>
      <protection locked="0"/>
    </xf>
    <xf numFmtId="2" fontId="88" fillId="2" borderId="0" xfId="0" applyNumberFormat="1" applyFont="1" applyFill="1" applyAlignment="1" applyProtection="1">
      <alignment horizontal="center" vertical="center"/>
      <protection locked="0"/>
    </xf>
    <xf numFmtId="0" fontId="88" fillId="2" borderId="60" xfId="0" applyFont="1" applyFill="1" applyBorder="1" applyAlignment="1" applyProtection="1">
      <alignment horizontal="left" vertical="center"/>
      <protection locked="0"/>
    </xf>
    <xf numFmtId="0" fontId="88" fillId="2" borderId="1" xfId="0" applyFont="1" applyFill="1" applyBorder="1" applyAlignment="1" applyProtection="1">
      <alignment horizontal="left" vertical="center"/>
      <protection locked="0"/>
    </xf>
    <xf numFmtId="0" fontId="88" fillId="2" borderId="33" xfId="0" applyFont="1" applyFill="1" applyBorder="1" applyAlignment="1" applyProtection="1">
      <alignment horizontal="left" vertical="center"/>
      <protection locked="0"/>
    </xf>
    <xf numFmtId="0" fontId="88" fillId="2" borderId="70" xfId="0" applyFont="1" applyFill="1" applyBorder="1" applyAlignment="1" applyProtection="1">
      <alignment horizontal="left" vertical="center"/>
      <protection locked="0"/>
    </xf>
    <xf numFmtId="0" fontId="83" fillId="2" borderId="0" xfId="0" applyFont="1" applyFill="1" applyAlignment="1" applyProtection="1">
      <alignment horizontal="right" vertical="center"/>
      <protection locked="0"/>
    </xf>
    <xf numFmtId="0" fontId="88" fillId="2" borderId="35" xfId="0" applyFont="1" applyFill="1" applyBorder="1" applyAlignment="1" applyProtection="1">
      <alignment horizontal="left" vertical="center"/>
      <protection locked="0"/>
    </xf>
    <xf numFmtId="0" fontId="88" fillId="2" borderId="34" xfId="0" applyFont="1" applyFill="1" applyBorder="1" applyAlignment="1" applyProtection="1">
      <alignment horizontal="left" vertical="center"/>
      <protection locked="0"/>
    </xf>
    <xf numFmtId="0" fontId="87" fillId="2" borderId="67" xfId="0" applyFont="1" applyFill="1" applyBorder="1" applyAlignment="1" applyProtection="1">
      <alignment vertical="center" wrapText="1"/>
      <protection locked="0"/>
    </xf>
    <xf numFmtId="0" fontId="85" fillId="2" borderId="64" xfId="0" applyFont="1" applyFill="1" applyBorder="1" applyAlignment="1" applyProtection="1">
      <alignment vertical="center"/>
      <protection locked="0"/>
    </xf>
    <xf numFmtId="0" fontId="83" fillId="2" borderId="0" xfId="0" applyFont="1" applyFill="1" applyAlignment="1" applyProtection="1">
      <alignment horizontal="left" vertical="top"/>
      <protection locked="0"/>
    </xf>
    <xf numFmtId="0" fontId="87" fillId="2" borderId="60" xfId="0" applyFont="1" applyFill="1" applyBorder="1" applyAlignment="1" applyProtection="1">
      <alignment vertical="center" wrapText="1"/>
      <protection locked="0"/>
    </xf>
    <xf numFmtId="0" fontId="87" fillId="2" borderId="44" xfId="0" applyFont="1" applyFill="1" applyBorder="1" applyAlignment="1" applyProtection="1">
      <alignment horizontal="center" vertical="center" wrapText="1"/>
      <protection locked="0"/>
    </xf>
    <xf numFmtId="2" fontId="87" fillId="2" borderId="45" xfId="0" applyNumberFormat="1" applyFont="1" applyFill="1" applyBorder="1" applyAlignment="1" applyProtection="1">
      <alignment horizontal="center" vertical="center" wrapText="1"/>
      <protection locked="0"/>
    </xf>
    <xf numFmtId="2" fontId="87" fillId="2" borderId="46" xfId="0" applyNumberFormat="1" applyFont="1" applyFill="1" applyBorder="1" applyAlignment="1" applyProtection="1">
      <alignment horizontal="center" vertical="center" wrapText="1"/>
      <protection locked="0"/>
    </xf>
    <xf numFmtId="0" fontId="85" fillId="2" borderId="32" xfId="0" applyFont="1" applyFill="1" applyBorder="1"/>
    <xf numFmtId="0" fontId="85" fillId="2" borderId="33" xfId="0" applyFont="1" applyFill="1" applyBorder="1"/>
    <xf numFmtId="0" fontId="85" fillId="2" borderId="7" xfId="0" applyFont="1" applyFill="1" applyBorder="1" applyAlignment="1" applyProtection="1">
      <alignment vertical="center"/>
      <protection locked="0"/>
    </xf>
    <xf numFmtId="0" fontId="85" fillId="2" borderId="34" xfId="0" applyFont="1" applyFill="1" applyBorder="1"/>
    <xf numFmtId="0" fontId="88" fillId="2" borderId="67" xfId="0" applyFont="1" applyFill="1" applyBorder="1" applyAlignment="1" applyProtection="1">
      <alignment horizontal="left" vertical="center"/>
      <protection locked="0"/>
    </xf>
    <xf numFmtId="0" fontId="88" fillId="2" borderId="47" xfId="0" applyFont="1" applyFill="1" applyBorder="1" applyAlignment="1" applyProtection="1">
      <alignment horizontal="left" vertical="center"/>
      <protection locked="0"/>
    </xf>
    <xf numFmtId="0" fontId="88" fillId="2" borderId="43" xfId="0" applyFont="1" applyFill="1" applyBorder="1" applyAlignment="1" applyProtection="1">
      <alignment horizontal="left" vertical="center"/>
      <protection locked="0"/>
    </xf>
    <xf numFmtId="0" fontId="88" fillId="2" borderId="42" xfId="0" applyFont="1" applyFill="1" applyBorder="1" applyAlignment="1" applyProtection="1">
      <alignment horizontal="left" vertical="center"/>
      <protection locked="0"/>
    </xf>
    <xf numFmtId="0" fontId="88" fillId="2" borderId="6" xfId="0" applyFont="1" applyFill="1" applyBorder="1" applyAlignment="1" applyProtection="1">
      <alignment horizontal="left" vertical="center"/>
      <protection locked="0"/>
    </xf>
    <xf numFmtId="0" fontId="88" fillId="2" borderId="32" xfId="0" applyFont="1" applyFill="1" applyBorder="1" applyAlignment="1" applyProtection="1">
      <alignment horizontal="left" vertical="center"/>
      <protection locked="0"/>
    </xf>
    <xf numFmtId="0" fontId="88" fillId="2" borderId="7" xfId="0" applyFont="1" applyFill="1" applyBorder="1" applyAlignment="1" applyProtection="1">
      <alignment horizontal="left" vertical="center"/>
      <protection locked="0"/>
    </xf>
    <xf numFmtId="0" fontId="88" fillId="2" borderId="8" xfId="0" applyFont="1" applyFill="1" applyBorder="1" applyAlignment="1" applyProtection="1">
      <alignment horizontal="left" vertical="center"/>
      <protection locked="0"/>
    </xf>
    <xf numFmtId="0" fontId="88" fillId="2" borderId="41" xfId="0" applyFont="1" applyFill="1" applyBorder="1" applyAlignment="1" applyProtection="1">
      <alignment horizontal="left" vertical="center"/>
      <protection locked="0"/>
    </xf>
    <xf numFmtId="0" fontId="85" fillId="2" borderId="41" xfId="0" applyFont="1" applyFill="1" applyBorder="1" applyAlignment="1" applyProtection="1">
      <alignment vertical="center"/>
      <protection locked="0"/>
    </xf>
    <xf numFmtId="0" fontId="85" fillId="2" borderId="42" xfId="0" applyFont="1" applyFill="1" applyBorder="1" applyAlignment="1" applyProtection="1">
      <alignment vertical="center"/>
      <protection locked="0"/>
    </xf>
    <xf numFmtId="0" fontId="85" fillId="2" borderId="47" xfId="0" applyFont="1" applyFill="1" applyBorder="1" applyAlignment="1" applyProtection="1">
      <alignment vertical="center"/>
      <protection locked="0"/>
    </xf>
    <xf numFmtId="0" fontId="88" fillId="2" borderId="0" xfId="0" applyFont="1" applyFill="1" applyAlignment="1" applyProtection="1">
      <alignment vertical="center" wrapText="1"/>
      <protection locked="0"/>
    </xf>
    <xf numFmtId="0" fontId="85" fillId="2" borderId="32" xfId="0" applyFont="1" applyFill="1" applyBorder="1" applyAlignment="1" applyProtection="1">
      <alignment horizontal="left" vertical="center"/>
      <protection locked="0"/>
    </xf>
    <xf numFmtId="0" fontId="85" fillId="2" borderId="41" xfId="0" applyFont="1" applyFill="1" applyBorder="1" applyAlignment="1" applyProtection="1">
      <alignment horizontal="left" vertical="center"/>
      <protection locked="0"/>
    </xf>
    <xf numFmtId="0" fontId="85" fillId="2" borderId="69" xfId="0" applyFont="1" applyFill="1" applyBorder="1" applyAlignment="1" applyProtection="1">
      <alignment horizontal="left" vertical="center"/>
      <protection locked="0"/>
    </xf>
    <xf numFmtId="0" fontId="85" fillId="2" borderId="42" xfId="0" applyFont="1" applyFill="1" applyBorder="1" applyAlignment="1" applyProtection="1">
      <alignment horizontal="left" vertical="center"/>
      <protection locked="0"/>
    </xf>
    <xf numFmtId="0" fontId="85" fillId="4" borderId="0" xfId="0" applyFont="1" applyFill="1" applyAlignment="1" applyProtection="1">
      <alignment horizontal="center" vertical="center"/>
      <protection locked="0"/>
    </xf>
    <xf numFmtId="0" fontId="85" fillId="2" borderId="1" xfId="0" applyFont="1" applyFill="1" applyBorder="1" applyAlignment="1" applyProtection="1">
      <alignment horizontal="left" vertical="center"/>
      <protection locked="0"/>
    </xf>
    <xf numFmtId="0" fontId="88" fillId="2" borderId="1" xfId="0" applyFont="1" applyFill="1" applyBorder="1" applyAlignment="1">
      <alignment horizontal="center" vertical="center"/>
    </xf>
    <xf numFmtId="2" fontId="88" fillId="2" borderId="3" xfId="0" applyNumberFormat="1" applyFont="1" applyFill="1" applyBorder="1" applyAlignment="1">
      <alignment horizontal="center" vertical="center"/>
    </xf>
    <xf numFmtId="2" fontId="88" fillId="2" borderId="77" xfId="0" applyNumberFormat="1" applyFont="1" applyFill="1" applyBorder="1" applyAlignment="1">
      <alignment horizontal="center" vertical="center"/>
    </xf>
    <xf numFmtId="0" fontId="88" fillId="2" borderId="14" xfId="0" applyFont="1" applyFill="1" applyBorder="1" applyAlignment="1">
      <alignment horizontal="center" vertical="center"/>
    </xf>
    <xf numFmtId="2" fontId="88" fillId="2" borderId="4" xfId="0" applyNumberFormat="1" applyFont="1" applyFill="1" applyBorder="1" applyAlignment="1">
      <alignment horizontal="center" vertical="center"/>
    </xf>
    <xf numFmtId="2" fontId="88" fillId="2" borderId="5" xfId="0" applyNumberFormat="1" applyFont="1" applyFill="1" applyBorder="1" applyAlignment="1">
      <alignment horizontal="center" vertical="center"/>
    </xf>
    <xf numFmtId="0" fontId="85" fillId="2" borderId="1" xfId="0" applyFont="1" applyFill="1" applyBorder="1"/>
    <xf numFmtId="0" fontId="85" fillId="2" borderId="65" xfId="0" applyFont="1" applyFill="1" applyBorder="1" applyAlignment="1" applyProtection="1">
      <alignment horizontal="center" vertical="center"/>
      <protection locked="0"/>
    </xf>
    <xf numFmtId="2" fontId="85" fillId="2" borderId="72" xfId="0" applyNumberFormat="1" applyFont="1" applyFill="1" applyBorder="1" applyAlignment="1" applyProtection="1">
      <alignment horizontal="center" vertical="center"/>
      <protection locked="0"/>
    </xf>
    <xf numFmtId="0" fontId="88" fillId="2" borderId="0" xfId="0" applyFont="1" applyFill="1" applyAlignment="1">
      <alignment horizontal="center" vertical="center"/>
    </xf>
    <xf numFmtId="2" fontId="88" fillId="2" borderId="0" xfId="0" applyNumberFormat="1" applyFont="1" applyFill="1" applyAlignment="1">
      <alignment horizontal="center" vertical="center"/>
    </xf>
    <xf numFmtId="0" fontId="85" fillId="2" borderId="36" xfId="0" applyFont="1" applyFill="1" applyBorder="1" applyAlignment="1" applyProtection="1">
      <alignment vertical="center"/>
      <protection locked="0"/>
    </xf>
    <xf numFmtId="0" fontId="85" fillId="2" borderId="7" xfId="0" applyFont="1" applyFill="1" applyBorder="1" applyAlignment="1" applyProtection="1">
      <alignment horizontal="left" vertical="center"/>
      <protection locked="0"/>
    </xf>
    <xf numFmtId="0" fontId="87" fillId="2" borderId="67" xfId="0" applyFont="1" applyFill="1" applyBorder="1" applyAlignment="1" applyProtection="1">
      <alignment horizontal="left" vertical="center" wrapText="1"/>
      <protection locked="0"/>
    </xf>
    <xf numFmtId="0" fontId="87" fillId="2" borderId="68" xfId="0" applyFont="1" applyFill="1" applyBorder="1" applyAlignment="1" applyProtection="1">
      <alignment horizontal="center" vertical="center" wrapText="1"/>
      <protection locked="0"/>
    </xf>
    <xf numFmtId="2" fontId="87" fillId="2" borderId="77" xfId="0" applyNumberFormat="1" applyFont="1" applyFill="1" applyBorder="1" applyAlignment="1" applyProtection="1">
      <alignment horizontal="center" vertical="center" wrapText="1"/>
      <protection locked="0"/>
    </xf>
    <xf numFmtId="0" fontId="85" fillId="2" borderId="70" xfId="0" applyFont="1" applyFill="1" applyBorder="1"/>
    <xf numFmtId="0" fontId="97" fillId="2" borderId="0" xfId="11" applyFont="1" applyFill="1" applyBorder="1" applyAlignment="1" applyProtection="1">
      <alignment horizontal="left" vertical="center" wrapText="1"/>
      <protection locked="0"/>
    </xf>
    <xf numFmtId="0" fontId="98" fillId="2" borderId="0" xfId="0" applyFont="1" applyFill="1" applyAlignment="1" applyProtection="1">
      <alignment horizontal="left" vertical="center"/>
      <protection locked="0"/>
    </xf>
    <xf numFmtId="0" fontId="88" fillId="2" borderId="1" xfId="0" applyFont="1" applyFill="1" applyBorder="1" applyAlignment="1" applyProtection="1">
      <alignment horizontal="center" vertical="center"/>
      <protection locked="0"/>
    </xf>
    <xf numFmtId="0" fontId="85" fillId="2" borderId="6" xfId="0" applyFont="1" applyFill="1" applyBorder="1"/>
    <xf numFmtId="0" fontId="85" fillId="2" borderId="7" xfId="0" applyFont="1" applyFill="1" applyBorder="1"/>
    <xf numFmtId="0" fontId="85" fillId="2" borderId="8" xfId="0" applyFont="1" applyFill="1" applyBorder="1"/>
    <xf numFmtId="0" fontId="85" fillId="2" borderId="6" xfId="0" applyFont="1" applyFill="1" applyBorder="1" applyAlignment="1" applyProtection="1">
      <alignment horizontal="left" vertical="center"/>
      <protection locked="0"/>
    </xf>
    <xf numFmtId="2" fontId="87" fillId="2" borderId="71" xfId="0" applyNumberFormat="1" applyFont="1" applyFill="1" applyBorder="1" applyAlignment="1" applyProtection="1">
      <alignment horizontal="center" vertical="center" wrapText="1"/>
      <protection locked="0"/>
    </xf>
    <xf numFmtId="0" fontId="85" fillId="2" borderId="6" xfId="0" applyFont="1" applyFill="1" applyBorder="1" applyAlignment="1">
      <alignment horizontal="left" vertical="center"/>
    </xf>
    <xf numFmtId="0" fontId="83" fillId="2" borderId="67" xfId="0" applyFont="1" applyFill="1" applyBorder="1" applyAlignment="1" applyProtection="1">
      <alignment horizontal="center" vertical="center"/>
      <protection locked="0"/>
    </xf>
    <xf numFmtId="2" fontId="85" fillId="2" borderId="76" xfId="0" applyNumberFormat="1" applyFont="1" applyFill="1" applyBorder="1" applyAlignment="1" applyProtection="1">
      <alignment horizontal="center" vertical="center"/>
      <protection locked="0"/>
    </xf>
    <xf numFmtId="0" fontId="85" fillId="2" borderId="13" xfId="0" applyFont="1" applyFill="1" applyBorder="1" applyAlignment="1">
      <alignment horizontal="left" vertical="center"/>
    </xf>
    <xf numFmtId="0" fontId="85" fillId="2" borderId="33" xfId="0" applyFont="1" applyFill="1" applyBorder="1" applyAlignment="1" applyProtection="1">
      <alignment horizontal="left" vertical="center"/>
      <protection locked="0"/>
    </xf>
    <xf numFmtId="0" fontId="85" fillId="2" borderId="7" xfId="0" applyFont="1" applyFill="1" applyBorder="1" applyAlignment="1">
      <alignment horizontal="left" vertical="center"/>
    </xf>
    <xf numFmtId="0" fontId="85" fillId="2" borderId="8" xfId="0" applyFont="1" applyFill="1" applyBorder="1" applyAlignment="1">
      <alignment horizontal="left" vertical="center"/>
    </xf>
    <xf numFmtId="0" fontId="55" fillId="2" borderId="1" xfId="0" applyFont="1" applyFill="1" applyBorder="1"/>
    <xf numFmtId="165" fontId="85" fillId="2" borderId="31" xfId="0" applyNumberFormat="1" applyFont="1" applyFill="1" applyBorder="1" applyAlignment="1" applyProtection="1">
      <alignment horizontal="center" vertical="center"/>
      <protection locked="0"/>
    </xf>
    <xf numFmtId="0" fontId="55" fillId="2" borderId="15" xfId="0" applyFont="1" applyFill="1" applyBorder="1" applyAlignment="1" applyProtection="1">
      <alignment horizontal="center" vertical="center"/>
      <protection locked="0"/>
    </xf>
    <xf numFmtId="2" fontId="55" fillId="2" borderId="16" xfId="0" applyNumberFormat="1" applyFont="1" applyFill="1" applyBorder="1" applyAlignment="1" applyProtection="1">
      <alignment horizontal="center" vertical="center"/>
      <protection locked="0"/>
    </xf>
    <xf numFmtId="2" fontId="55" fillId="2" borderId="17" xfId="0" applyNumberFormat="1" applyFont="1" applyFill="1" applyBorder="1" applyAlignment="1" applyProtection="1">
      <alignment horizontal="center" vertical="center"/>
      <protection locked="0"/>
    </xf>
    <xf numFmtId="0" fontId="55" fillId="2" borderId="0" xfId="0" applyFont="1" applyFill="1"/>
    <xf numFmtId="0" fontId="88" fillId="2" borderId="69" xfId="0" applyFont="1" applyFill="1" applyBorder="1" applyAlignment="1" applyProtection="1">
      <alignment horizontal="left" vertical="center"/>
      <protection locked="0"/>
    </xf>
    <xf numFmtId="0" fontId="85" fillId="2" borderId="70" xfId="0" applyFont="1" applyFill="1" applyBorder="1" applyAlignment="1" applyProtection="1">
      <alignment horizontal="left" vertical="center"/>
      <protection locked="0"/>
    </xf>
    <xf numFmtId="0" fontId="88" fillId="2" borderId="49" xfId="0" applyFont="1" applyFill="1" applyBorder="1" applyAlignment="1" applyProtection="1">
      <alignment horizontal="left" vertical="center"/>
      <protection locked="0"/>
    </xf>
    <xf numFmtId="0" fontId="88" fillId="2" borderId="53" xfId="0" applyFont="1" applyFill="1" applyBorder="1" applyAlignment="1" applyProtection="1">
      <alignment horizontal="left" vertical="center"/>
      <protection locked="0"/>
    </xf>
    <xf numFmtId="0" fontId="88" fillId="2" borderId="9" xfId="0" applyFont="1" applyFill="1" applyBorder="1" applyAlignment="1" applyProtection="1">
      <alignment horizontal="left" vertical="center"/>
      <protection locked="0"/>
    </xf>
    <xf numFmtId="0" fontId="88" fillId="2" borderId="36" xfId="0" applyFont="1" applyFill="1" applyBorder="1" applyAlignment="1" applyProtection="1">
      <alignment horizontal="left" vertical="center"/>
      <protection locked="0"/>
    </xf>
    <xf numFmtId="0" fontId="99" fillId="2" borderId="6" xfId="0" applyFont="1" applyFill="1" applyBorder="1" applyAlignment="1">
      <alignment horizontal="left"/>
    </xf>
    <xf numFmtId="0" fontId="99" fillId="2" borderId="7" xfId="0" applyFont="1" applyFill="1" applyBorder="1" applyAlignment="1">
      <alignment horizontal="left"/>
    </xf>
    <xf numFmtId="0" fontId="99" fillId="2" borderId="8" xfId="0" applyFont="1" applyFill="1" applyBorder="1" applyAlignment="1">
      <alignment horizontal="left"/>
    </xf>
    <xf numFmtId="0" fontId="88" fillId="4" borderId="0" xfId="0" applyFont="1" applyFill="1" applyAlignment="1">
      <alignment horizontal="left" vertical="center"/>
    </xf>
    <xf numFmtId="0" fontId="88" fillId="4" borderId="0" xfId="0" applyFont="1" applyFill="1" applyAlignment="1">
      <alignment horizontal="center" vertical="center"/>
    </xf>
    <xf numFmtId="0" fontId="88" fillId="2" borderId="64" xfId="0" applyFont="1" applyFill="1" applyBorder="1" applyAlignment="1" applyProtection="1">
      <alignment horizontal="center" vertical="center"/>
      <protection locked="0"/>
    </xf>
    <xf numFmtId="2" fontId="88" fillId="2" borderId="64" xfId="0" applyNumberFormat="1" applyFont="1" applyFill="1" applyBorder="1" applyAlignment="1" applyProtection="1">
      <alignment horizontal="center" vertical="center"/>
      <protection locked="0"/>
    </xf>
    <xf numFmtId="2" fontId="85" fillId="2" borderId="64" xfId="0" applyNumberFormat="1" applyFont="1" applyFill="1" applyBorder="1" applyAlignment="1" applyProtection="1">
      <alignment horizontal="center" vertical="center"/>
      <protection locked="0"/>
    </xf>
    <xf numFmtId="2" fontId="31" fillId="0" borderId="0" xfId="0" applyNumberFormat="1" applyFont="1"/>
    <xf numFmtId="2" fontId="33" fillId="2" borderId="23" xfId="0" applyNumberFormat="1" applyFont="1" applyFill="1" applyBorder="1" applyAlignment="1">
      <alignment horizontal="center" vertical="center"/>
    </xf>
    <xf numFmtId="0" fontId="33" fillId="2" borderId="63" xfId="0" applyFont="1" applyFill="1" applyBorder="1" applyAlignment="1" applyProtection="1">
      <alignment vertical="center"/>
      <protection locked="0"/>
    </xf>
    <xf numFmtId="0" fontId="8" fillId="2" borderId="36" xfId="0" applyFont="1" applyFill="1" applyBorder="1" applyAlignment="1" applyProtection="1">
      <alignment horizontal="left" vertical="center" wrapText="1"/>
      <protection locked="0"/>
    </xf>
    <xf numFmtId="0" fontId="52" fillId="5" borderId="0" xfId="0" applyFont="1" applyFill="1"/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85" fillId="2" borderId="14" xfId="0" applyFont="1" applyFill="1" applyBorder="1" applyAlignment="1" applyProtection="1">
      <alignment horizontal="center" vertical="center" wrapText="1"/>
      <protection locked="0"/>
    </xf>
    <xf numFmtId="0" fontId="38" fillId="2" borderId="0" xfId="0" applyFont="1" applyFill="1" applyAlignment="1" applyProtection="1">
      <alignment horizontal="right" vertical="center"/>
      <protection locked="0"/>
    </xf>
    <xf numFmtId="0" fontId="30" fillId="2" borderId="8" xfId="4" applyFont="1" applyFill="1" applyBorder="1" applyAlignment="1">
      <alignment horizontal="left"/>
    </xf>
    <xf numFmtId="0" fontId="8" fillId="2" borderId="7" xfId="4" applyFont="1" applyFill="1" applyBorder="1" applyAlignment="1">
      <alignment horizontal="left"/>
    </xf>
    <xf numFmtId="0" fontId="8" fillId="2" borderId="8" xfId="4" applyFont="1" applyFill="1" applyBorder="1" applyAlignment="1">
      <alignment horizontal="left"/>
    </xf>
    <xf numFmtId="0" fontId="8" fillId="2" borderId="32" xfId="4" applyFont="1" applyFill="1" applyBorder="1" applyAlignment="1">
      <alignment horizontal="left"/>
    </xf>
    <xf numFmtId="0" fontId="8" fillId="2" borderId="33" xfId="4" applyFont="1" applyFill="1" applyBorder="1" applyAlignment="1">
      <alignment horizontal="left"/>
    </xf>
    <xf numFmtId="0" fontId="30" fillId="2" borderId="6" xfId="4" applyFont="1" applyFill="1" applyBorder="1" applyAlignment="1">
      <alignment horizontal="left"/>
    </xf>
    <xf numFmtId="0" fontId="30" fillId="2" borderId="7" xfId="4" applyFont="1" applyFill="1" applyBorder="1" applyAlignment="1">
      <alignment horizontal="left"/>
    </xf>
    <xf numFmtId="0" fontId="30" fillId="2" borderId="31" xfId="0" applyFont="1" applyFill="1" applyBorder="1" applyAlignment="1" applyProtection="1">
      <alignment horizontal="left" vertical="center"/>
      <protection locked="0"/>
    </xf>
    <xf numFmtId="0" fontId="33" fillId="2" borderId="34" xfId="0" applyFont="1" applyFill="1" applyBorder="1" applyAlignment="1" applyProtection="1">
      <alignment horizontal="left" vertical="center"/>
      <protection locked="0"/>
    </xf>
    <xf numFmtId="0" fontId="8" fillId="2" borderId="74" xfId="0" applyFont="1" applyFill="1" applyBorder="1" applyAlignment="1" applyProtection="1">
      <alignment vertical="center"/>
      <protection locked="0"/>
    </xf>
    <xf numFmtId="0" fontId="8" fillId="2" borderId="34" xfId="4" applyFont="1" applyFill="1" applyBorder="1" applyAlignment="1">
      <alignment horizontal="left"/>
    </xf>
    <xf numFmtId="0" fontId="8" fillId="2" borderId="6" xfId="4" applyFont="1" applyFill="1" applyBorder="1" applyAlignment="1">
      <alignment horizontal="left"/>
    </xf>
    <xf numFmtId="0" fontId="30" fillId="2" borderId="6" xfId="0" applyFont="1" applyFill="1" applyBorder="1" applyAlignment="1" applyProtection="1">
      <alignment horizontal="left" vertical="center"/>
      <protection locked="0"/>
    </xf>
    <xf numFmtId="0" fontId="30" fillId="2" borderId="7" xfId="0" applyFont="1" applyFill="1" applyBorder="1" applyAlignment="1" applyProtection="1">
      <alignment horizontal="left" vertical="center"/>
      <protection locked="0"/>
    </xf>
    <xf numFmtId="0" fontId="30" fillId="2" borderId="8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8" fillId="2" borderId="60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32" fillId="5" borderId="6" xfId="0" applyFont="1" applyFill="1" applyBorder="1"/>
    <xf numFmtId="0" fontId="32" fillId="2" borderId="6" xfId="0" applyFont="1" applyFill="1" applyBorder="1" applyAlignment="1">
      <alignment horizontal="left" vertical="center"/>
    </xf>
    <xf numFmtId="0" fontId="32" fillId="5" borderId="7" xfId="0" applyFont="1" applyFill="1" applyBorder="1"/>
    <xf numFmtId="0" fontId="32" fillId="2" borderId="7" xfId="0" applyFont="1" applyFill="1" applyBorder="1" applyAlignment="1">
      <alignment horizontal="left" vertical="center"/>
    </xf>
    <xf numFmtId="0" fontId="32" fillId="5" borderId="8" xfId="0" applyFont="1" applyFill="1" applyBorder="1"/>
    <xf numFmtId="0" fontId="32" fillId="2" borderId="8" xfId="0" applyFont="1" applyFill="1" applyBorder="1" applyAlignment="1">
      <alignment horizontal="left" vertical="center"/>
    </xf>
    <xf numFmtId="0" fontId="32" fillId="5" borderId="0" xfId="0" applyFont="1" applyFill="1"/>
    <xf numFmtId="0" fontId="32" fillId="2" borderId="0" xfId="0" applyFont="1" applyFill="1" applyAlignment="1">
      <alignment horizontal="left" vertical="center"/>
    </xf>
    <xf numFmtId="0" fontId="32" fillId="2" borderId="91" xfId="0" applyFont="1" applyFill="1" applyBorder="1" applyAlignment="1">
      <alignment vertical="center"/>
    </xf>
    <xf numFmtId="0" fontId="32" fillId="2" borderId="93" xfId="0" applyFont="1" applyFill="1" applyBorder="1" applyAlignment="1">
      <alignment vertical="center"/>
    </xf>
    <xf numFmtId="0" fontId="32" fillId="2" borderId="94" xfId="0" applyFont="1" applyFill="1" applyBorder="1" applyAlignment="1">
      <alignment vertical="center"/>
    </xf>
    <xf numFmtId="0" fontId="32" fillId="2" borderId="92" xfId="0" applyFont="1" applyFill="1" applyBorder="1" applyAlignment="1">
      <alignment vertical="center"/>
    </xf>
    <xf numFmtId="0" fontId="32" fillId="2" borderId="91" xfId="0" applyFont="1" applyFill="1" applyBorder="1"/>
    <xf numFmtId="0" fontId="32" fillId="2" borderId="94" xfId="0" applyFont="1" applyFill="1" applyBorder="1"/>
    <xf numFmtId="0" fontId="32" fillId="2" borderId="93" xfId="0" applyFont="1" applyFill="1" applyBorder="1"/>
    <xf numFmtId="0" fontId="31" fillId="2" borderId="1" xfId="0" applyFont="1" applyFill="1" applyBorder="1"/>
    <xf numFmtId="0" fontId="32" fillId="2" borderId="31" xfId="0" applyFont="1" applyFill="1" applyBorder="1" applyAlignment="1">
      <alignment vertical="center"/>
    </xf>
    <xf numFmtId="0" fontId="33" fillId="2" borderId="13" xfId="0" applyFont="1" applyFill="1" applyBorder="1" applyAlignment="1" applyProtection="1">
      <alignment vertical="center"/>
      <protection locked="0"/>
    </xf>
    <xf numFmtId="0" fontId="39" fillId="2" borderId="6" xfId="0" applyFont="1" applyFill="1" applyBorder="1" applyAlignment="1">
      <alignment horizontal="left" vertical="center"/>
    </xf>
    <xf numFmtId="0" fontId="39" fillId="2" borderId="8" xfId="0" applyFont="1" applyFill="1" applyBorder="1" applyAlignment="1">
      <alignment horizontal="left" vertical="center"/>
    </xf>
    <xf numFmtId="0" fontId="35" fillId="2" borderId="6" xfId="0" applyFont="1" applyFill="1" applyBorder="1" applyAlignment="1">
      <alignment vertical="center"/>
    </xf>
    <xf numFmtId="0" fontId="35" fillId="2" borderId="8" xfId="0" applyFont="1" applyFill="1" applyBorder="1" applyAlignment="1">
      <alignment vertical="center"/>
    </xf>
    <xf numFmtId="0" fontId="32" fillId="2" borderId="61" xfId="0" applyFont="1" applyFill="1" applyBorder="1" applyAlignment="1">
      <alignment vertical="center"/>
    </xf>
    <xf numFmtId="0" fontId="32" fillId="2" borderId="13" xfId="0" applyFont="1" applyFill="1" applyBorder="1" applyAlignment="1">
      <alignment vertical="center"/>
    </xf>
    <xf numFmtId="0" fontId="32" fillId="2" borderId="8" xfId="0" applyFont="1" applyFill="1" applyBorder="1" applyAlignment="1">
      <alignment vertical="center"/>
    </xf>
    <xf numFmtId="0" fontId="32" fillId="2" borderId="6" xfId="0" applyFont="1" applyFill="1" applyBorder="1" applyAlignment="1">
      <alignment vertical="center"/>
    </xf>
    <xf numFmtId="0" fontId="38" fillId="2" borderId="63" xfId="0" applyFont="1" applyFill="1" applyBorder="1" applyAlignment="1" applyProtection="1">
      <alignment horizontal="right" vertical="center"/>
      <protection locked="0"/>
    </xf>
    <xf numFmtId="0" fontId="30" fillId="2" borderId="6" xfId="11" applyFont="1" applyFill="1" applyBorder="1" applyAlignment="1" applyProtection="1">
      <alignment horizontal="left" vertical="center" wrapText="1"/>
      <protection locked="0"/>
    </xf>
    <xf numFmtId="0" fontId="30" fillId="2" borderId="8" xfId="11" applyFont="1" applyFill="1" applyBorder="1" applyAlignment="1" applyProtection="1">
      <alignment horizontal="left" vertical="center" wrapText="1"/>
      <protection locked="0"/>
    </xf>
    <xf numFmtId="0" fontId="33" fillId="2" borderId="91" xfId="0" applyFont="1" applyFill="1" applyBorder="1" applyAlignment="1">
      <alignment horizontal="left"/>
    </xf>
    <xf numFmtId="0" fontId="33" fillId="2" borderId="24" xfId="0" applyFont="1" applyFill="1" applyBorder="1" applyAlignment="1">
      <alignment horizontal="left"/>
    </xf>
    <xf numFmtId="0" fontId="39" fillId="2" borderId="15" xfId="0" applyFont="1" applyFill="1" applyBorder="1" applyAlignment="1">
      <alignment horizontal="left"/>
    </xf>
    <xf numFmtId="0" fontId="39" fillId="2" borderId="18" xfId="0" applyFont="1" applyFill="1" applyBorder="1" applyAlignment="1">
      <alignment horizontal="left"/>
    </xf>
    <xf numFmtId="0" fontId="39" fillId="2" borderId="21" xfId="0" applyFont="1" applyFill="1" applyBorder="1" applyAlignment="1">
      <alignment horizontal="left"/>
    </xf>
    <xf numFmtId="0" fontId="30" fillId="2" borderId="7" xfId="11" applyFont="1" applyFill="1" applyBorder="1" applyAlignment="1" applyProtection="1">
      <alignment horizontal="left" vertical="center" wrapText="1"/>
      <protection locked="0"/>
    </xf>
    <xf numFmtId="0" fontId="56" fillId="2" borderId="6" xfId="11" applyFont="1" applyFill="1" applyBorder="1" applyAlignment="1" applyProtection="1">
      <alignment horizontal="left" vertical="center" wrapText="1"/>
      <protection locked="0"/>
    </xf>
    <xf numFmtId="0" fontId="55" fillId="2" borderId="6" xfId="0" applyFont="1" applyFill="1" applyBorder="1"/>
    <xf numFmtId="0" fontId="56" fillId="2" borderId="7" xfId="11" applyFont="1" applyFill="1" applyBorder="1" applyAlignment="1" applyProtection="1">
      <alignment horizontal="left" vertical="center" wrapText="1"/>
      <protection locked="0"/>
    </xf>
    <xf numFmtId="0" fontId="8" fillId="2" borderId="70" xfId="11" applyFont="1" applyFill="1" applyBorder="1" applyAlignment="1" applyProtection="1">
      <alignment horizontal="left" vertical="center" wrapText="1"/>
      <protection locked="0"/>
    </xf>
    <xf numFmtId="0" fontId="8" fillId="2" borderId="32" xfId="11" applyFont="1" applyFill="1" applyBorder="1" applyAlignment="1" applyProtection="1">
      <alignment horizontal="left" vertical="center" wrapText="1"/>
      <protection locked="0"/>
    </xf>
    <xf numFmtId="0" fontId="8" fillId="2" borderId="61" xfId="11" applyFont="1" applyFill="1" applyBorder="1" applyAlignment="1" applyProtection="1">
      <alignment horizontal="left" vertical="center" wrapText="1"/>
      <protection locked="0"/>
    </xf>
    <xf numFmtId="0" fontId="85" fillId="2" borderId="6" xfId="0" applyFont="1" applyFill="1" applyBorder="1" applyAlignment="1" applyProtection="1">
      <alignment vertical="center" wrapText="1"/>
      <protection locked="0"/>
    </xf>
    <xf numFmtId="0" fontId="85" fillId="2" borderId="8" xfId="0" applyFont="1" applyFill="1" applyBorder="1" applyAlignment="1" applyProtection="1">
      <alignment vertical="center" wrapText="1"/>
      <protection locked="0"/>
    </xf>
    <xf numFmtId="0" fontId="85" fillId="2" borderId="13" xfId="0" applyFont="1" applyFill="1" applyBorder="1" applyAlignment="1" applyProtection="1">
      <alignment horizontal="left" vertical="center" wrapText="1"/>
      <protection locked="0"/>
    </xf>
    <xf numFmtId="0" fontId="85" fillId="2" borderId="0" xfId="0" applyFont="1" applyFill="1" applyAlignment="1" applyProtection="1">
      <alignment horizontal="center" vertical="center" wrapText="1"/>
      <protection locked="0"/>
    </xf>
    <xf numFmtId="0" fontId="85" fillId="2" borderId="6" xfId="0" applyFont="1" applyFill="1" applyBorder="1" applyAlignment="1" applyProtection="1">
      <alignment horizontal="left" vertical="center" wrapText="1"/>
      <protection locked="0"/>
    </xf>
    <xf numFmtId="0" fontId="85" fillId="2" borderId="7" xfId="0" applyFont="1" applyFill="1" applyBorder="1" applyAlignment="1" applyProtection="1">
      <alignment horizontal="left" vertical="center" wrapText="1"/>
      <protection locked="0"/>
    </xf>
    <xf numFmtId="0" fontId="85" fillId="2" borderId="7" xfId="0" applyFont="1" applyFill="1" applyBorder="1" applyAlignment="1" applyProtection="1">
      <alignment vertical="center" wrapText="1"/>
      <protection locked="0"/>
    </xf>
    <xf numFmtId="0" fontId="88" fillId="2" borderId="8" xfId="0" applyFont="1" applyFill="1" applyBorder="1" applyAlignment="1">
      <alignment horizontal="left"/>
    </xf>
    <xf numFmtId="0" fontId="85" fillId="2" borderId="58" xfId="0" applyFont="1" applyFill="1" applyBorder="1" applyAlignment="1" applyProtection="1">
      <alignment vertical="center"/>
      <protection locked="0"/>
    </xf>
    <xf numFmtId="0" fontId="56" fillId="2" borderId="31" xfId="11" applyFont="1" applyFill="1" applyBorder="1" applyAlignment="1" applyProtection="1">
      <alignment horizontal="left" vertical="center" wrapText="1"/>
      <protection locked="0"/>
    </xf>
    <xf numFmtId="0" fontId="56" fillId="2" borderId="0" xfId="11" applyFont="1" applyFill="1" applyBorder="1" applyAlignment="1" applyProtection="1">
      <alignment horizontal="left" vertical="center" wrapText="1"/>
      <protection locked="0"/>
    </xf>
    <xf numFmtId="0" fontId="43" fillId="2" borderId="0" xfId="0" applyFont="1" applyFill="1"/>
    <xf numFmtId="165" fontId="8" fillId="2" borderId="35" xfId="0" applyNumberFormat="1" applyFont="1" applyFill="1" applyBorder="1" applyAlignment="1" applyProtection="1">
      <alignment horizontal="center" vertical="center"/>
      <protection locked="0"/>
    </xf>
    <xf numFmtId="0" fontId="30" fillId="2" borderId="36" xfId="4" applyFont="1" applyFill="1" applyBorder="1" applyAlignment="1">
      <alignment horizontal="left"/>
    </xf>
    <xf numFmtId="0" fontId="8" fillId="2" borderId="110" xfId="0" applyFont="1" applyFill="1" applyBorder="1" applyAlignment="1" applyProtection="1">
      <alignment horizontal="left" vertical="center"/>
      <protection locked="0"/>
    </xf>
    <xf numFmtId="0" fontId="23" fillId="9" borderId="0" xfId="0" applyFont="1" applyFill="1" applyAlignment="1" applyProtection="1">
      <alignment vertical="center" wrapText="1"/>
      <protection locked="0"/>
    </xf>
    <xf numFmtId="0" fontId="8" fillId="2" borderId="114" xfId="0" applyFont="1" applyFill="1" applyBorder="1" applyAlignment="1" applyProtection="1">
      <alignment vertical="center"/>
      <protection locked="0"/>
    </xf>
    <xf numFmtId="0" fontId="8" fillId="2" borderId="115" xfId="0" applyFont="1" applyFill="1" applyBorder="1" applyAlignment="1" applyProtection="1">
      <alignment vertical="center"/>
      <protection locked="0"/>
    </xf>
    <xf numFmtId="0" fontId="33" fillId="2" borderId="117" xfId="0" applyFont="1" applyFill="1" applyBorder="1" applyAlignment="1" applyProtection="1">
      <alignment vertical="center"/>
      <protection locked="0"/>
    </xf>
    <xf numFmtId="0" fontId="33" fillId="2" borderId="118" xfId="0" applyFont="1" applyFill="1" applyBorder="1" applyAlignment="1" applyProtection="1">
      <alignment vertical="center"/>
      <protection locked="0"/>
    </xf>
    <xf numFmtId="0" fontId="64" fillId="2" borderId="62" xfId="0" applyFont="1" applyFill="1" applyBorder="1" applyAlignment="1">
      <alignment vertical="center"/>
    </xf>
    <xf numFmtId="0" fontId="64" fillId="2" borderId="94" xfId="0" applyFont="1" applyFill="1" applyBorder="1" applyAlignment="1">
      <alignment vertical="center"/>
    </xf>
    <xf numFmtId="165" fontId="8" fillId="2" borderId="2" xfId="19" applyNumberFormat="1" applyFont="1" applyFill="1" applyBorder="1" applyAlignment="1" applyProtection="1">
      <alignment horizontal="center" vertical="center"/>
      <protection locked="0"/>
    </xf>
    <xf numFmtId="2" fontId="56" fillId="2" borderId="126" xfId="0" applyNumberFormat="1" applyFont="1" applyFill="1" applyBorder="1" applyAlignment="1" applyProtection="1">
      <alignment horizontal="center" vertical="center" wrapText="1"/>
      <protection locked="0"/>
    </xf>
    <xf numFmtId="2" fontId="56" fillId="2" borderId="127" xfId="0" applyNumberFormat="1" applyFont="1" applyFill="1" applyBorder="1" applyAlignment="1" applyProtection="1">
      <alignment horizontal="center" vertical="center" wrapText="1"/>
      <protection locked="0"/>
    </xf>
    <xf numFmtId="0" fontId="56" fillId="2" borderId="91" xfId="0" applyFont="1" applyFill="1" applyBorder="1" applyAlignment="1" applyProtection="1">
      <alignment horizontal="center" vertical="center" wrapText="1"/>
      <protection locked="0"/>
    </xf>
    <xf numFmtId="0" fontId="56" fillId="2" borderId="128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8" fillId="2" borderId="0" xfId="0" applyFont="1" applyFill="1" applyAlignment="1" applyProtection="1">
      <alignment vertical="center" wrapText="1"/>
      <protection locked="0"/>
    </xf>
    <xf numFmtId="0" fontId="8" fillId="2" borderId="13" xfId="0" applyFont="1" applyFill="1" applyBorder="1" applyAlignment="1" applyProtection="1">
      <alignment horizontal="center" vertical="center"/>
      <protection locked="0"/>
    </xf>
    <xf numFmtId="165" fontId="8" fillId="2" borderId="65" xfId="0" applyNumberFormat="1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center" vertical="center"/>
    </xf>
    <xf numFmtId="0" fontId="10" fillId="2" borderId="0" xfId="0" applyFont="1" applyFill="1" applyAlignment="1" applyProtection="1">
      <alignment horizontal="left" vertical="center"/>
      <protection locked="0"/>
    </xf>
    <xf numFmtId="2" fontId="8" fillId="2" borderId="59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2" fontId="8" fillId="0" borderId="0" xfId="0" applyNumberFormat="1" applyFont="1" applyAlignment="1" applyProtection="1">
      <alignment horizontal="center" vertical="center" wrapText="1"/>
      <protection locked="0"/>
    </xf>
    <xf numFmtId="0" fontId="8" fillId="2" borderId="0" xfId="11" applyFont="1" applyFill="1" applyBorder="1" applyAlignment="1" applyProtection="1">
      <alignment horizontal="left" vertical="center" wrapText="1"/>
      <protection locked="0"/>
    </xf>
    <xf numFmtId="0" fontId="31" fillId="2" borderId="0" xfId="0" applyFont="1" applyFill="1" applyAlignment="1">
      <alignment horizontal="center" vertical="center"/>
    </xf>
    <xf numFmtId="49" fontId="31" fillId="2" borderId="0" xfId="0" applyNumberFormat="1" applyFont="1" applyFill="1" applyAlignment="1">
      <alignment horizontal="center" vertical="center"/>
    </xf>
    <xf numFmtId="2" fontId="32" fillId="2" borderId="0" xfId="0" applyNumberFormat="1" applyFont="1" applyFill="1" applyAlignment="1">
      <alignment horizontal="center" vertical="center"/>
    </xf>
    <xf numFmtId="0" fontId="33" fillId="2" borderId="0" xfId="0" applyFont="1" applyFill="1" applyAlignment="1">
      <alignment horizontal="left" vertical="center"/>
    </xf>
    <xf numFmtId="0" fontId="62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8" fillId="2" borderId="61" xfId="0" applyFont="1" applyFill="1" applyBorder="1" applyAlignment="1" applyProtection="1">
      <alignment horizontal="left" vertical="center"/>
      <protection locked="0"/>
    </xf>
    <xf numFmtId="0" fontId="33" fillId="2" borderId="61" xfId="0" applyFont="1" applyFill="1" applyBorder="1" applyAlignment="1">
      <alignment horizontal="left"/>
    </xf>
    <xf numFmtId="0" fontId="33" fillId="2" borderId="129" xfId="0" applyFont="1" applyFill="1" applyBorder="1" applyAlignment="1">
      <alignment horizontal="left"/>
    </xf>
    <xf numFmtId="0" fontId="33" fillId="2" borderId="128" xfId="0" applyFont="1" applyFill="1" applyBorder="1" applyAlignment="1">
      <alignment horizontal="left"/>
    </xf>
    <xf numFmtId="0" fontId="33" fillId="2" borderId="65" xfId="0" applyFont="1" applyFill="1" applyBorder="1" applyAlignment="1">
      <alignment horizontal="left"/>
    </xf>
    <xf numFmtId="0" fontId="8" fillId="2" borderId="52" xfId="0" applyFont="1" applyFill="1" applyBorder="1" applyAlignment="1" applyProtection="1">
      <alignment horizontal="center" vertical="center"/>
      <protection locked="0"/>
    </xf>
    <xf numFmtId="0" fontId="33" fillId="2" borderId="18" xfId="0" applyFont="1" applyFill="1" applyBorder="1" applyAlignment="1">
      <alignment horizontal="center" vertical="center"/>
    </xf>
    <xf numFmtId="0" fontId="39" fillId="2" borderId="10" xfId="0" applyFont="1" applyFill="1" applyBorder="1" applyAlignment="1">
      <alignment horizontal="center"/>
    </xf>
    <xf numFmtId="0" fontId="33" fillId="2" borderId="14" xfId="0" applyFont="1" applyFill="1" applyBorder="1" applyAlignment="1">
      <alignment horizontal="center" vertical="center"/>
    </xf>
    <xf numFmtId="0" fontId="39" fillId="2" borderId="14" xfId="0" applyFont="1" applyFill="1" applyBorder="1" applyAlignment="1">
      <alignment horizontal="center"/>
    </xf>
    <xf numFmtId="0" fontId="33" fillId="2" borderId="18" xfId="0" applyFont="1" applyFill="1" applyBorder="1" applyAlignment="1">
      <alignment vertical="center"/>
    </xf>
    <xf numFmtId="0" fontId="30" fillId="2" borderId="61" xfId="0" applyFont="1" applyFill="1" applyBorder="1" applyAlignment="1" applyProtection="1">
      <alignment horizontal="center" vertical="center" wrapText="1"/>
      <protection locked="0"/>
    </xf>
    <xf numFmtId="0" fontId="30" fillId="2" borderId="25" xfId="0" applyFont="1" applyFill="1" applyBorder="1" applyAlignment="1" applyProtection="1">
      <alignment horizontal="center" vertical="center" wrapText="1"/>
      <protection locked="0"/>
    </xf>
    <xf numFmtId="0" fontId="33" fillId="2" borderId="60" xfId="0" applyFont="1" applyFill="1" applyBorder="1" applyAlignment="1" applyProtection="1">
      <alignment horizontal="center" vertical="center"/>
      <protection locked="0"/>
    </xf>
    <xf numFmtId="0" fontId="30" fillId="2" borderId="69" xfId="0" applyFont="1" applyFill="1" applyBorder="1" applyAlignment="1" applyProtection="1">
      <alignment horizontal="center" vertical="center" wrapText="1"/>
      <protection locked="0"/>
    </xf>
    <xf numFmtId="0" fontId="8" fillId="7" borderId="14" xfId="0" applyFont="1" applyFill="1" applyBorder="1" applyAlignment="1" applyProtection="1">
      <alignment horizontal="center" vertical="center"/>
      <protection locked="0"/>
    </xf>
    <xf numFmtId="0" fontId="35" fillId="7" borderId="25" xfId="0" applyFont="1" applyFill="1" applyBorder="1" applyAlignment="1" applyProtection="1">
      <alignment horizontal="center" vertical="center"/>
      <protection locked="0"/>
    </xf>
    <xf numFmtId="0" fontId="56" fillId="2" borderId="131" xfId="0" applyFont="1" applyFill="1" applyBorder="1" applyAlignment="1" applyProtection="1">
      <alignment horizontal="center" vertical="center" wrapText="1"/>
      <protection locked="0"/>
    </xf>
    <xf numFmtId="0" fontId="8" fillId="2" borderId="35" xfId="0" applyFont="1" applyFill="1" applyBorder="1" applyAlignment="1" applyProtection="1">
      <alignment horizontal="center" vertical="center"/>
      <protection locked="0"/>
    </xf>
    <xf numFmtId="0" fontId="8" fillId="2" borderId="32" xfId="0" applyFont="1" applyFill="1" applyBorder="1" applyAlignment="1" applyProtection="1">
      <alignment horizontal="center" vertical="center"/>
      <protection locked="0"/>
    </xf>
    <xf numFmtId="2" fontId="8" fillId="2" borderId="0" xfId="0" applyNumberFormat="1" applyFont="1" applyFill="1" applyAlignment="1" applyProtection="1">
      <alignment horizontal="right" vertical="center"/>
      <protection locked="0"/>
    </xf>
    <xf numFmtId="0" fontId="8" fillId="2" borderId="61" xfId="0" applyFont="1" applyFill="1" applyBorder="1" applyAlignment="1">
      <alignment horizontal="center" vertical="center"/>
    </xf>
    <xf numFmtId="0" fontId="8" fillId="2" borderId="132" xfId="0" applyFont="1" applyFill="1" applyBorder="1" applyAlignment="1" applyProtection="1">
      <alignment vertical="center" wrapText="1"/>
      <protection locked="0"/>
    </xf>
    <xf numFmtId="0" fontId="8" fillId="2" borderId="133" xfId="0" applyFont="1" applyFill="1" applyBorder="1" applyAlignment="1" applyProtection="1">
      <alignment vertical="center" wrapText="1"/>
      <protection locked="0"/>
    </xf>
    <xf numFmtId="0" fontId="8" fillId="2" borderId="134" xfId="0" applyFont="1" applyFill="1" applyBorder="1" applyAlignment="1" applyProtection="1">
      <alignment vertical="center" wrapText="1"/>
      <protection locked="0"/>
    </xf>
    <xf numFmtId="0" fontId="8" fillId="2" borderId="135" xfId="0" applyFont="1" applyFill="1" applyBorder="1" applyAlignment="1" applyProtection="1">
      <alignment vertical="center" wrapText="1"/>
      <protection locked="0"/>
    </xf>
    <xf numFmtId="0" fontId="8" fillId="2" borderId="136" xfId="0" applyFont="1" applyFill="1" applyBorder="1" applyAlignment="1" applyProtection="1">
      <alignment vertical="center" wrapText="1"/>
      <protection locked="0"/>
    </xf>
    <xf numFmtId="0" fontId="8" fillId="2" borderId="137" xfId="0" applyFont="1" applyFill="1" applyBorder="1" applyAlignment="1" applyProtection="1">
      <alignment horizontal="left" vertical="center" wrapText="1"/>
      <protection locked="0"/>
    </xf>
    <xf numFmtId="0" fontId="8" fillId="2" borderId="138" xfId="0" applyFont="1" applyFill="1" applyBorder="1" applyAlignment="1" applyProtection="1">
      <alignment horizontal="left" vertical="center" wrapText="1"/>
      <protection locked="0"/>
    </xf>
    <xf numFmtId="0" fontId="8" fillId="2" borderId="139" xfId="0" applyFont="1" applyFill="1" applyBorder="1" applyAlignment="1" applyProtection="1">
      <alignment horizontal="left" vertical="center" wrapText="1"/>
      <protection locked="0"/>
    </xf>
    <xf numFmtId="0" fontId="8" fillId="2" borderId="140" xfId="0" applyFont="1" applyFill="1" applyBorder="1" applyAlignment="1" applyProtection="1">
      <alignment horizontal="left" vertical="center" wrapText="1"/>
      <protection locked="0"/>
    </xf>
    <xf numFmtId="0" fontId="8" fillId="2" borderId="141" xfId="0" applyFont="1" applyFill="1" applyBorder="1" applyAlignment="1" applyProtection="1">
      <alignment horizontal="left" vertical="center" wrapText="1"/>
      <protection locked="0"/>
    </xf>
    <xf numFmtId="0" fontId="8" fillId="2" borderId="33" xfId="0" applyFont="1" applyFill="1" applyBorder="1"/>
    <xf numFmtId="0" fontId="8" fillId="2" borderId="34" xfId="0" applyFont="1" applyFill="1" applyBorder="1"/>
    <xf numFmtId="0" fontId="48" fillId="2" borderId="144" xfId="0" applyFont="1" applyFill="1" applyBorder="1"/>
    <xf numFmtId="0" fontId="48" fillId="2" borderId="145" xfId="0" applyFont="1" applyFill="1" applyBorder="1"/>
    <xf numFmtId="0" fontId="8" fillId="2" borderId="40" xfId="0" applyFont="1" applyFill="1" applyBorder="1" applyAlignment="1" applyProtection="1">
      <alignment horizontal="left" vertical="center"/>
      <protection locked="0"/>
    </xf>
    <xf numFmtId="2" fontId="8" fillId="2" borderId="44" xfId="0" applyNumberFormat="1" applyFont="1" applyFill="1" applyBorder="1" applyAlignment="1" applyProtection="1">
      <alignment horizontal="center" vertical="center"/>
      <protection locked="0"/>
    </xf>
    <xf numFmtId="2" fontId="8" fillId="2" borderId="25" xfId="0" applyNumberFormat="1" applyFont="1" applyFill="1" applyBorder="1" applyAlignment="1" applyProtection="1">
      <alignment horizontal="center" vertical="center"/>
      <protection locked="0"/>
    </xf>
    <xf numFmtId="0" fontId="8" fillId="2" borderId="19" xfId="0" applyFont="1" applyFill="1" applyBorder="1" applyAlignment="1" applyProtection="1">
      <alignment horizontal="center" vertical="center"/>
      <protection locked="0"/>
    </xf>
    <xf numFmtId="0" fontId="8" fillId="2" borderId="60" xfId="0" applyFont="1" applyFill="1" applyBorder="1" applyAlignment="1" applyProtection="1">
      <alignment horizontal="center" vertical="center"/>
      <protection locked="0"/>
    </xf>
    <xf numFmtId="2" fontId="8" fillId="2" borderId="67" xfId="0" applyNumberFormat="1" applyFont="1" applyFill="1" applyBorder="1" applyAlignment="1" applyProtection="1">
      <alignment horizontal="center" vertical="center"/>
      <protection locked="0"/>
    </xf>
    <xf numFmtId="2" fontId="33" fillId="2" borderId="68" xfId="0" applyNumberFormat="1" applyFont="1" applyFill="1" applyBorder="1" applyAlignment="1" applyProtection="1">
      <alignment horizontal="center" vertical="center"/>
      <protection locked="0"/>
    </xf>
    <xf numFmtId="2" fontId="33" fillId="2" borderId="67" xfId="0" applyNumberFormat="1" applyFont="1" applyFill="1" applyBorder="1" applyAlignment="1" applyProtection="1">
      <alignment horizontal="center" vertical="center"/>
      <protection locked="0"/>
    </xf>
    <xf numFmtId="2" fontId="8" fillId="2" borderId="1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22" xfId="0" applyFont="1" applyFill="1" applyBorder="1" applyAlignment="1" applyProtection="1">
      <alignment horizontal="center" vertical="center"/>
      <protection locked="0"/>
    </xf>
    <xf numFmtId="0" fontId="102" fillId="2" borderId="6" xfId="0" applyFont="1" applyFill="1" applyBorder="1" applyAlignment="1">
      <alignment horizontal="left"/>
    </xf>
    <xf numFmtId="0" fontId="102" fillId="2" borderId="7" xfId="0" applyFont="1" applyFill="1" applyBorder="1" applyAlignment="1">
      <alignment horizontal="left"/>
    </xf>
    <xf numFmtId="0" fontId="102" fillId="2" borderId="8" xfId="0" applyFont="1" applyFill="1" applyBorder="1" applyAlignment="1">
      <alignment horizontal="left"/>
    </xf>
    <xf numFmtId="0" fontId="8" fillId="2" borderId="19" xfId="0" applyFont="1" applyFill="1" applyBorder="1" applyAlignment="1" applyProtection="1">
      <alignment vertical="center"/>
      <protection locked="0"/>
    </xf>
    <xf numFmtId="0" fontId="31" fillId="2" borderId="19" xfId="0" applyFont="1" applyFill="1" applyBorder="1" applyAlignment="1">
      <alignment horizontal="center" vertical="center"/>
    </xf>
    <xf numFmtId="0" fontId="32" fillId="2" borderId="19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left" vertical="top"/>
    </xf>
    <xf numFmtId="0" fontId="8" fillId="2" borderId="4" xfId="0" applyFont="1" applyFill="1" applyBorder="1" applyAlignment="1" applyProtection="1">
      <alignment vertical="center"/>
      <protection locked="0"/>
    </xf>
    <xf numFmtId="165" fontId="8" fillId="2" borderId="4" xfId="19" applyNumberFormat="1" applyFont="1" applyFill="1" applyBorder="1" applyAlignment="1" applyProtection="1">
      <alignment horizontal="center" vertical="center"/>
      <protection locked="0"/>
    </xf>
    <xf numFmtId="2" fontId="31" fillId="2" borderId="4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 applyProtection="1">
      <alignment horizontal="center" vertical="center" wrapText="1"/>
      <protection locked="0"/>
    </xf>
    <xf numFmtId="165" fontId="8" fillId="2" borderId="49" xfId="0" applyNumberFormat="1" applyFont="1" applyFill="1" applyBorder="1" applyAlignment="1" applyProtection="1">
      <alignment horizontal="center" vertical="center"/>
      <protection locked="0"/>
    </xf>
    <xf numFmtId="165" fontId="8" fillId="2" borderId="19" xfId="0" applyNumberFormat="1" applyFont="1" applyFill="1" applyBorder="1" applyAlignment="1" applyProtection="1">
      <alignment horizontal="center" vertical="center"/>
      <protection locked="0"/>
    </xf>
    <xf numFmtId="49" fontId="31" fillId="2" borderId="19" xfId="0" applyNumberFormat="1" applyFont="1" applyFill="1" applyBorder="1" applyAlignment="1">
      <alignment horizontal="center" vertical="center"/>
    </xf>
    <xf numFmtId="2" fontId="32" fillId="2" borderId="19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33" fillId="2" borderId="79" xfId="0" applyFont="1" applyFill="1" applyBorder="1"/>
    <xf numFmtId="0" fontId="33" fillId="2" borderId="35" xfId="0" applyFont="1" applyFill="1" applyBorder="1"/>
    <xf numFmtId="0" fontId="33" fillId="2" borderId="69" xfId="0" applyFont="1" applyFill="1" applyBorder="1"/>
    <xf numFmtId="166" fontId="8" fillId="2" borderId="50" xfId="0" applyNumberFormat="1" applyFont="1" applyFill="1" applyBorder="1" applyAlignment="1" applyProtection="1">
      <alignment horizontal="center" vertical="center"/>
      <protection locked="0"/>
    </xf>
    <xf numFmtId="0" fontId="8" fillId="2" borderId="33" xfId="0" applyFont="1" applyFill="1" applyBorder="1" applyAlignment="1">
      <alignment horizontal="left" vertical="center"/>
    </xf>
    <xf numFmtId="0" fontId="53" fillId="2" borderId="0" xfId="0" applyFont="1" applyFill="1" applyAlignment="1">
      <alignment vertical="center"/>
    </xf>
    <xf numFmtId="0" fontId="32" fillId="2" borderId="0" xfId="0" applyFont="1" applyFill="1" applyAlignment="1">
      <alignment vertical="center"/>
    </xf>
    <xf numFmtId="0" fontId="33" fillId="2" borderId="19" xfId="0" applyFont="1" applyFill="1" applyBorder="1" applyAlignment="1" applyProtection="1">
      <alignment horizontal="center" vertical="center"/>
      <protection locked="0"/>
    </xf>
    <xf numFmtId="0" fontId="32" fillId="2" borderId="70" xfId="0" applyFont="1" applyFill="1" applyBorder="1" applyAlignment="1">
      <alignment vertical="center"/>
    </xf>
    <xf numFmtId="0" fontId="32" fillId="2" borderId="34" xfId="0" applyFont="1" applyFill="1" applyBorder="1" applyAlignment="1">
      <alignment vertical="center"/>
    </xf>
    <xf numFmtId="165" fontId="8" fillId="2" borderId="50" xfId="0" applyNumberFormat="1" applyFont="1" applyFill="1" applyBorder="1" applyAlignment="1" applyProtection="1">
      <alignment horizontal="center" vertical="center"/>
      <protection locked="0"/>
    </xf>
    <xf numFmtId="0" fontId="53" fillId="2" borderId="31" xfId="0" applyFont="1" applyFill="1" applyBorder="1" applyAlignment="1">
      <alignment vertical="center"/>
    </xf>
    <xf numFmtId="0" fontId="32" fillId="2" borderId="59" xfId="0" applyFont="1" applyFill="1" applyBorder="1" applyAlignment="1">
      <alignment vertical="center"/>
    </xf>
    <xf numFmtId="0" fontId="30" fillId="2" borderId="19" xfId="0" applyFont="1" applyFill="1" applyBorder="1" applyAlignment="1" applyProtection="1">
      <alignment vertical="center" wrapText="1"/>
      <protection locked="0"/>
    </xf>
    <xf numFmtId="2" fontId="33" fillId="2" borderId="14" xfId="0" applyNumberFormat="1" applyFont="1" applyFill="1" applyBorder="1" applyAlignment="1" applyProtection="1">
      <alignment horizontal="center" vertical="center"/>
      <protection locked="0"/>
    </xf>
    <xf numFmtId="0" fontId="30" fillId="2" borderId="1" xfId="11" applyFont="1" applyFill="1" applyBorder="1" applyAlignment="1" applyProtection="1">
      <alignment horizontal="left" vertical="center" wrapText="1"/>
      <protection locked="0"/>
    </xf>
    <xf numFmtId="1" fontId="31" fillId="2" borderId="21" xfId="0" applyNumberFormat="1" applyFont="1" applyFill="1" applyBorder="1" applyAlignment="1">
      <alignment horizontal="center"/>
    </xf>
    <xf numFmtId="0" fontId="33" fillId="2" borderId="49" xfId="0" applyFont="1" applyFill="1" applyBorder="1" applyAlignment="1">
      <alignment vertical="center"/>
    </xf>
    <xf numFmtId="0" fontId="33" fillId="2" borderId="53" xfId="0" applyFont="1" applyFill="1" applyBorder="1" applyAlignment="1">
      <alignment vertical="center"/>
    </xf>
    <xf numFmtId="0" fontId="33" fillId="2" borderId="63" xfId="0" applyFont="1" applyFill="1" applyBorder="1" applyAlignment="1">
      <alignment vertical="center"/>
    </xf>
    <xf numFmtId="0" fontId="33" fillId="2" borderId="51" xfId="0" applyFont="1" applyFill="1" applyBorder="1" applyAlignment="1">
      <alignment vertical="center"/>
    </xf>
    <xf numFmtId="0" fontId="33" fillId="2" borderId="51" xfId="0" applyFont="1" applyFill="1" applyBorder="1"/>
    <xf numFmtId="0" fontId="8" fillId="2" borderId="74" xfId="0" applyFont="1" applyFill="1" applyBorder="1" applyAlignment="1" applyProtection="1">
      <alignment horizontal="left" vertical="center"/>
      <protection locked="0"/>
    </xf>
    <xf numFmtId="0" fontId="8" fillId="2" borderId="75" xfId="0" applyFont="1" applyFill="1" applyBorder="1" applyAlignment="1" applyProtection="1">
      <alignment horizontal="left" vertical="center"/>
      <protection locked="0"/>
    </xf>
    <xf numFmtId="0" fontId="8" fillId="2" borderId="60" xfId="0" applyFont="1" applyFill="1" applyBorder="1" applyAlignment="1" applyProtection="1">
      <alignment horizontal="left" vertical="center"/>
      <protection locked="0"/>
    </xf>
    <xf numFmtId="0" fontId="8" fillId="2" borderId="35" xfId="0" applyFont="1" applyFill="1" applyBorder="1" applyAlignment="1" applyProtection="1">
      <alignment horizontal="left" vertical="center"/>
      <protection locked="0"/>
    </xf>
    <xf numFmtId="0" fontId="33" fillId="2" borderId="64" xfId="0" applyFont="1" applyFill="1" applyBorder="1" applyAlignment="1">
      <alignment horizontal="left"/>
    </xf>
    <xf numFmtId="0" fontId="8" fillId="2" borderId="79" xfId="0" applyFont="1" applyFill="1" applyBorder="1" applyAlignment="1" applyProtection="1">
      <alignment vertical="center"/>
      <protection locked="0"/>
    </xf>
    <xf numFmtId="165" fontId="8" fillId="2" borderId="47" xfId="0" applyNumberFormat="1" applyFont="1" applyFill="1" applyBorder="1" applyAlignment="1" applyProtection="1">
      <alignment horizontal="center" vertical="center"/>
      <protection locked="0"/>
    </xf>
    <xf numFmtId="0" fontId="8" fillId="2" borderId="19" xfId="11" applyFont="1" applyFill="1" applyBorder="1" applyAlignment="1" applyProtection="1">
      <alignment horizontal="left" vertical="center" wrapText="1"/>
      <protection locked="0"/>
    </xf>
    <xf numFmtId="0" fontId="33" fillId="4" borderId="61" xfId="0" applyFont="1" applyFill="1" applyBorder="1" applyAlignment="1">
      <alignment horizontal="left" vertical="center"/>
    </xf>
    <xf numFmtId="165" fontId="8" fillId="2" borderId="41" xfId="0" applyNumberFormat="1" applyFont="1" applyFill="1" applyBorder="1" applyAlignment="1" applyProtection="1">
      <alignment horizontal="center" vertical="center"/>
      <protection locked="0"/>
    </xf>
    <xf numFmtId="165" fontId="8" fillId="2" borderId="42" xfId="0" applyNumberFormat="1" applyFont="1" applyFill="1" applyBorder="1" applyAlignment="1" applyProtection="1">
      <alignment horizontal="center" vertical="center"/>
      <protection locked="0"/>
    </xf>
    <xf numFmtId="0" fontId="30" fillId="2" borderId="39" xfId="0" applyFont="1" applyFill="1" applyBorder="1" applyAlignment="1" applyProtection="1">
      <alignment horizontal="center" vertical="center" wrapText="1"/>
      <protection locked="0"/>
    </xf>
    <xf numFmtId="0" fontId="27" fillId="2" borderId="64" xfId="0" applyFont="1" applyFill="1" applyBorder="1" applyAlignment="1" applyProtection="1">
      <alignment horizontal="left" vertical="center"/>
      <protection locked="0"/>
    </xf>
    <xf numFmtId="0" fontId="30" fillId="2" borderId="31" xfId="0" applyFont="1" applyFill="1" applyBorder="1" applyAlignment="1" applyProtection="1">
      <alignment vertical="center" wrapText="1"/>
      <protection locked="0"/>
    </xf>
    <xf numFmtId="0" fontId="30" fillId="2" borderId="19" xfId="0" applyFont="1" applyFill="1" applyBorder="1" applyAlignment="1" applyProtection="1">
      <alignment horizontal="center" vertical="center" wrapText="1"/>
      <protection locked="0"/>
    </xf>
    <xf numFmtId="0" fontId="100" fillId="2" borderId="64" xfId="0" applyFont="1" applyFill="1" applyBorder="1" applyAlignment="1" applyProtection="1">
      <alignment horizontal="left" vertical="center"/>
      <protection locked="0"/>
    </xf>
    <xf numFmtId="0" fontId="101" fillId="2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100" fillId="2" borderId="0" xfId="0" applyFont="1" applyFill="1" applyAlignment="1" applyProtection="1">
      <alignment horizontal="left" vertical="center"/>
      <protection locked="0"/>
    </xf>
    <xf numFmtId="0" fontId="30" fillId="2" borderId="110" xfId="0" applyFont="1" applyFill="1" applyBorder="1" applyAlignment="1" applyProtection="1">
      <alignment horizontal="left" vertical="center" wrapText="1"/>
      <protection locked="0"/>
    </xf>
    <xf numFmtId="0" fontId="8" fillId="2" borderId="25" xfId="0" applyFont="1" applyFill="1" applyBorder="1" applyAlignment="1">
      <alignment horizontal="left" vertical="top"/>
    </xf>
    <xf numFmtId="0" fontId="30" fillId="2" borderId="44" xfId="0" applyFont="1" applyFill="1" applyBorder="1" applyAlignment="1" applyProtection="1">
      <alignment horizontal="center" vertical="center" wrapText="1"/>
      <protection locked="0"/>
    </xf>
    <xf numFmtId="2" fontId="30" fillId="2" borderId="45" xfId="0" applyNumberFormat="1" applyFont="1" applyFill="1" applyBorder="1" applyAlignment="1" applyProtection="1">
      <alignment horizontal="center" vertical="center" wrapText="1"/>
      <protection locked="0"/>
    </xf>
    <xf numFmtId="2" fontId="30" fillId="2" borderId="55" xfId="0" applyNumberFormat="1" applyFont="1" applyFill="1" applyBorder="1" applyAlignment="1" applyProtection="1">
      <alignment horizontal="center" vertical="center" wrapText="1"/>
      <protection locked="0"/>
    </xf>
    <xf numFmtId="2" fontId="30" fillId="2" borderId="46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50" xfId="0" applyFont="1" applyFill="1" applyBorder="1" applyAlignment="1" applyProtection="1">
      <alignment vertical="center"/>
      <protection locked="0"/>
    </xf>
    <xf numFmtId="0" fontId="55" fillId="2" borderId="169" xfId="0" applyFont="1" applyFill="1" applyBorder="1" applyAlignment="1" applyProtection="1">
      <alignment horizontal="center" vertical="center" wrapText="1"/>
      <protection locked="0"/>
    </xf>
    <xf numFmtId="2" fontId="55" fillId="0" borderId="166" xfId="0" applyNumberFormat="1" applyFont="1" applyBorder="1" applyAlignment="1" applyProtection="1">
      <alignment horizontal="center" vertical="center" wrapText="1"/>
      <protection locked="0"/>
    </xf>
    <xf numFmtId="2" fontId="55" fillId="0" borderId="110" xfId="0" applyNumberFormat="1" applyFont="1" applyBorder="1" applyAlignment="1" applyProtection="1">
      <alignment horizontal="center" vertical="center" wrapText="1"/>
      <protection locked="0"/>
    </xf>
    <xf numFmtId="0" fontId="55" fillId="2" borderId="174" xfId="0" applyFont="1" applyFill="1" applyBorder="1" applyAlignment="1" applyProtection="1">
      <alignment horizontal="center" vertical="center" wrapText="1"/>
      <protection locked="0"/>
    </xf>
    <xf numFmtId="2" fontId="55" fillId="0" borderId="65" xfId="0" applyNumberFormat="1" applyFont="1" applyBorder="1" applyAlignment="1" applyProtection="1">
      <alignment horizontal="center" vertical="center" wrapText="1"/>
      <protection locked="0"/>
    </xf>
    <xf numFmtId="0" fontId="15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55" fillId="2" borderId="171" xfId="0" applyFont="1" applyFill="1" applyBorder="1" applyAlignment="1" applyProtection="1">
      <alignment horizontal="center" vertical="center" wrapText="1"/>
      <protection locked="0"/>
    </xf>
    <xf numFmtId="0" fontId="55" fillId="2" borderId="54" xfId="0" applyFont="1" applyFill="1" applyBorder="1" applyAlignment="1" applyProtection="1">
      <alignment horizontal="center" vertical="center" wrapText="1"/>
      <protection locked="0"/>
    </xf>
    <xf numFmtId="2" fontId="55" fillId="0" borderId="172" xfId="0" applyNumberFormat="1" applyFont="1" applyBorder="1" applyAlignment="1" applyProtection="1">
      <alignment horizontal="center" vertical="center" wrapText="1"/>
      <protection locked="0"/>
    </xf>
    <xf numFmtId="2" fontId="55" fillId="0" borderId="45" xfId="0" applyNumberFormat="1" applyFont="1" applyBorder="1" applyAlignment="1" applyProtection="1">
      <alignment horizontal="center" vertical="center" wrapText="1"/>
      <protection locked="0"/>
    </xf>
    <xf numFmtId="2" fontId="55" fillId="0" borderId="173" xfId="0" applyNumberFormat="1" applyFont="1" applyBorder="1" applyAlignment="1" applyProtection="1">
      <alignment horizontal="center" vertical="center" wrapText="1"/>
      <protection locked="0"/>
    </xf>
    <xf numFmtId="2" fontId="55" fillId="0" borderId="85" xfId="0" applyNumberFormat="1" applyFont="1" applyBorder="1" applyAlignment="1" applyProtection="1">
      <alignment horizontal="center" vertical="center" wrapText="1"/>
      <protection locked="0"/>
    </xf>
    <xf numFmtId="0" fontId="8" fillId="2" borderId="14" xfId="0" applyFont="1" applyFill="1" applyBorder="1" applyAlignment="1" applyProtection="1">
      <alignment horizontal="center" vertical="center" wrapText="1"/>
      <protection locked="0"/>
    </xf>
    <xf numFmtId="2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4" xfId="0" applyNumberFormat="1" applyFont="1" applyFill="1" applyBorder="1" applyAlignment="1" applyProtection="1">
      <alignment horizontal="center" vertical="center"/>
      <protection locked="0"/>
    </xf>
    <xf numFmtId="0" fontId="33" fillId="2" borderId="15" xfId="0" applyFont="1" applyFill="1" applyBorder="1" applyAlignment="1">
      <alignment horizontal="center" vertical="center"/>
    </xf>
    <xf numFmtId="2" fontId="8" fillId="2" borderId="5" xfId="0" applyNumberFormat="1" applyFont="1" applyFill="1" applyBorder="1" applyAlignment="1" applyProtection="1">
      <alignment horizontal="center" vertical="center"/>
      <protection locked="0"/>
    </xf>
    <xf numFmtId="0" fontId="8" fillId="2" borderId="14" xfId="0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2" borderId="62" xfId="0" applyFont="1" applyFill="1" applyBorder="1" applyAlignment="1" applyProtection="1">
      <alignment horizontal="center" vertical="center"/>
      <protection locked="0"/>
    </xf>
    <xf numFmtId="0" fontId="8" fillId="2" borderId="24" xfId="0" applyFont="1" applyFill="1" applyBorder="1" applyAlignment="1" applyProtection="1">
      <alignment horizontal="center" vertical="center"/>
      <protection locked="0"/>
    </xf>
    <xf numFmtId="0" fontId="33" fillId="2" borderId="9" xfId="0" applyFont="1" applyFill="1" applyBorder="1" applyAlignment="1">
      <alignment horizontal="center" vertical="center"/>
    </xf>
    <xf numFmtId="0" fontId="33" fillId="2" borderId="62" xfId="0" applyFont="1" applyFill="1" applyBorder="1" applyAlignment="1">
      <alignment horizontal="center" vertical="center"/>
    </xf>
    <xf numFmtId="0" fontId="33" fillId="2" borderId="24" xfId="0" applyFont="1" applyFill="1" applyBorder="1" applyAlignment="1">
      <alignment horizontal="center" vertical="center"/>
    </xf>
    <xf numFmtId="1" fontId="8" fillId="2" borderId="131" xfId="0" applyNumberFormat="1" applyFont="1" applyFill="1" applyBorder="1" applyAlignment="1" applyProtection="1">
      <alignment horizontal="center" vertical="center"/>
      <protection locked="0"/>
    </xf>
    <xf numFmtId="2" fontId="8" fillId="2" borderId="28" xfId="0" applyNumberFormat="1" applyFont="1" applyFill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8" fillId="2" borderId="19" xfId="0" applyFont="1" applyFill="1" applyBorder="1" applyAlignment="1" applyProtection="1">
      <alignment horizontal="center" vertical="center"/>
      <protection locked="0"/>
    </xf>
    <xf numFmtId="2" fontId="8" fillId="2" borderId="14" xfId="0" applyNumberFormat="1" applyFont="1" applyFill="1" applyBorder="1" applyAlignment="1" applyProtection="1">
      <alignment horizontal="center" vertical="center"/>
      <protection locked="0"/>
    </xf>
    <xf numFmtId="0" fontId="33" fillId="2" borderId="15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29" fillId="2" borderId="9" xfId="0" applyFont="1" applyFill="1" applyBorder="1" applyAlignment="1" applyProtection="1">
      <alignment horizontal="center" vertical="center"/>
      <protection locked="0"/>
    </xf>
    <xf numFmtId="2" fontId="55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29" fillId="2" borderId="1" xfId="0" applyFont="1" applyFill="1" applyBorder="1" applyAlignment="1" applyProtection="1">
      <alignment horizontal="center" vertical="center"/>
      <protection locked="0"/>
    </xf>
    <xf numFmtId="2" fontId="55" fillId="2" borderId="4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7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2" borderId="14" xfId="0" applyNumberFormat="1" applyFont="1" applyFill="1" applyBorder="1" applyAlignment="1">
      <alignment horizontal="center" vertical="center"/>
    </xf>
    <xf numFmtId="2" fontId="33" fillId="2" borderId="12" xfId="0" applyNumberFormat="1" applyFont="1" applyFill="1" applyBorder="1" applyAlignment="1">
      <alignment horizontal="center" vertical="center"/>
    </xf>
    <xf numFmtId="2" fontId="55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30" fillId="2" borderId="14" xfId="0" applyFont="1" applyFill="1" applyBorder="1" applyAlignment="1" applyProtection="1">
      <alignment horizontal="center" vertical="center" wrapText="1"/>
      <protection locked="0"/>
    </xf>
    <xf numFmtId="2" fontId="33" fillId="0" borderId="5" xfId="0" applyNumberFormat="1" applyFont="1" applyBorder="1" applyAlignment="1">
      <alignment horizontal="center" vertical="center"/>
    </xf>
    <xf numFmtId="0" fontId="8" fillId="2" borderId="15" xfId="0" applyFont="1" applyFill="1" applyBorder="1" applyAlignment="1" applyProtection="1">
      <alignment horizontal="center" vertical="center"/>
      <protection locked="0"/>
    </xf>
    <xf numFmtId="0" fontId="8" fillId="2" borderId="68" xfId="0" applyFont="1" applyFill="1" applyBorder="1" applyAlignment="1" applyProtection="1">
      <alignment horizontal="center" vertical="center"/>
      <protection locked="0"/>
    </xf>
    <xf numFmtId="0" fontId="8" fillId="2" borderId="63" xfId="0" applyFont="1" applyFill="1" applyBorder="1" applyAlignment="1" applyProtection="1">
      <alignment horizontal="center" vertical="center"/>
      <protection locked="0"/>
    </xf>
    <xf numFmtId="0" fontId="8" fillId="2" borderId="5" xfId="0" applyFont="1" applyFill="1" applyBorder="1" applyAlignment="1">
      <alignment horizontal="center" vertical="center"/>
    </xf>
    <xf numFmtId="2" fontId="33" fillId="2" borderId="22" xfId="0" applyNumberFormat="1" applyFont="1" applyFill="1" applyBorder="1" applyAlignment="1">
      <alignment horizontal="center" vertical="center"/>
    </xf>
    <xf numFmtId="43" fontId="8" fillId="2" borderId="112" xfId="1" applyFont="1" applyFill="1" applyBorder="1" applyAlignment="1" applyProtection="1">
      <alignment horizontal="center" vertical="center"/>
      <protection locked="0"/>
    </xf>
    <xf numFmtId="166" fontId="33" fillId="2" borderId="6" xfId="0" applyNumberFormat="1" applyFont="1" applyFill="1" applyBorder="1" applyAlignment="1">
      <alignment horizontal="center" vertical="center"/>
    </xf>
    <xf numFmtId="1" fontId="8" fillId="2" borderId="14" xfId="0" applyNumberFormat="1" applyFont="1" applyFill="1" applyBorder="1" applyAlignment="1" applyProtection="1">
      <alignment horizontal="center" vertical="center"/>
      <protection locked="0"/>
    </xf>
    <xf numFmtId="2" fontId="8" fillId="2" borderId="12" xfId="0" applyNumberFormat="1" applyFont="1" applyFill="1" applyBorder="1" applyAlignment="1" applyProtection="1">
      <alignment horizontal="center" vertical="center"/>
      <protection locked="0"/>
    </xf>
    <xf numFmtId="165" fontId="8" fillId="2" borderId="1" xfId="19" applyNumberFormat="1" applyFont="1" applyFill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2" fontId="33" fillId="2" borderId="18" xfId="0" applyNumberFormat="1" applyFont="1" applyFill="1" applyBorder="1" applyAlignment="1">
      <alignment horizontal="center" vertical="center"/>
    </xf>
    <xf numFmtId="43" fontId="8" fillId="2" borderId="110" xfId="1" applyFont="1" applyFill="1" applyBorder="1" applyAlignment="1" applyProtection="1">
      <alignment horizontal="center" vertical="center"/>
      <protection locked="0"/>
    </xf>
    <xf numFmtId="2" fontId="33" fillId="2" borderId="20" xfId="0" applyNumberFormat="1" applyFont="1" applyFill="1" applyBorder="1" applyAlignment="1">
      <alignment horizontal="center" vertical="center"/>
    </xf>
    <xf numFmtId="0" fontId="33" fillId="2" borderId="17" xfId="0" applyFont="1" applyFill="1" applyBorder="1" applyAlignment="1">
      <alignment horizontal="center" vertical="center"/>
    </xf>
    <xf numFmtId="0" fontId="55" fillId="2" borderId="14" xfId="0" applyFont="1" applyFill="1" applyBorder="1" applyAlignment="1" applyProtection="1">
      <alignment horizontal="center" vertical="center" wrapText="1"/>
      <protection locked="0"/>
    </xf>
    <xf numFmtId="2" fontId="8" fillId="2" borderId="3" xfId="0" applyNumberFormat="1" applyFont="1" applyFill="1" applyBorder="1" applyAlignment="1" applyProtection="1">
      <alignment horizontal="center" vertical="center"/>
      <protection locked="0"/>
    </xf>
    <xf numFmtId="2" fontId="8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33" fillId="2" borderId="14" xfId="0" applyFont="1" applyFill="1" applyBorder="1" applyAlignment="1" applyProtection="1">
      <alignment horizontal="center" vertical="center"/>
      <protection locked="0"/>
    </xf>
    <xf numFmtId="0" fontId="33" fillId="2" borderId="28" xfId="0" applyFont="1" applyFill="1" applyBorder="1" applyAlignment="1">
      <alignment horizontal="center" vertical="center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2" borderId="24" xfId="0" applyFont="1" applyFill="1" applyBorder="1" applyAlignment="1" applyProtection="1">
      <alignment horizontal="center" vertical="center" wrapText="1"/>
      <protection locked="0"/>
    </xf>
    <xf numFmtId="0" fontId="8" fillId="2" borderId="62" xfId="0" applyFont="1" applyFill="1" applyBorder="1" applyAlignment="1" applyProtection="1">
      <alignment horizontal="center" vertical="center" wrapText="1"/>
      <protection locked="0"/>
    </xf>
    <xf numFmtId="166" fontId="8" fillId="2" borderId="1" xfId="0" applyNumberFormat="1" applyFont="1" applyFill="1" applyBorder="1" applyAlignment="1" applyProtection="1">
      <alignment horizontal="center" vertical="center"/>
      <protection locked="0"/>
    </xf>
    <xf numFmtId="49" fontId="31" fillId="2" borderId="14" xfId="0" applyNumberFormat="1" applyFont="1" applyFill="1" applyBorder="1" applyAlignment="1">
      <alignment horizontal="center" vertical="center"/>
    </xf>
    <xf numFmtId="2" fontId="33" fillId="2" borderId="30" xfId="0" applyNumberFormat="1" applyFont="1" applyFill="1" applyBorder="1" applyAlignment="1" applyProtection="1">
      <alignment horizontal="center" vertical="center"/>
      <protection locked="0"/>
    </xf>
    <xf numFmtId="0" fontId="55" fillId="2" borderId="19" xfId="0" applyFont="1" applyFill="1" applyBorder="1" applyAlignment="1" applyProtection="1">
      <alignment horizontal="center" vertical="center"/>
      <protection locked="0"/>
    </xf>
    <xf numFmtId="0" fontId="8" fillId="2" borderId="65" xfId="0" applyFont="1" applyFill="1" applyBorder="1" applyAlignment="1" applyProtection="1">
      <alignment horizontal="center" vertical="center"/>
      <protection locked="0"/>
    </xf>
    <xf numFmtId="165" fontId="8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8" fillId="2" borderId="26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>
      <alignment horizontal="center" vertical="center"/>
    </xf>
    <xf numFmtId="165" fontId="8" fillId="2" borderId="8" xfId="0" applyNumberFormat="1" applyFont="1" applyFill="1" applyBorder="1" applyAlignment="1" applyProtection="1">
      <alignment horizontal="center" vertical="center"/>
      <protection locked="0"/>
    </xf>
    <xf numFmtId="2" fontId="8" fillId="2" borderId="59" xfId="0" applyNumberFormat="1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66" fontId="33" fillId="2" borderId="1" xfId="0" applyNumberFormat="1" applyFont="1" applyFill="1" applyBorder="1" applyAlignment="1">
      <alignment horizontal="center" vertical="center"/>
    </xf>
    <xf numFmtId="165" fontId="33" fillId="2" borderId="31" xfId="0" applyNumberFormat="1" applyFont="1" applyFill="1" applyBorder="1" applyAlignment="1" applyProtection="1">
      <alignment horizontal="center" vertical="center"/>
      <protection locked="0"/>
    </xf>
    <xf numFmtId="165" fontId="8" fillId="2" borderId="9" xfId="0" applyNumberFormat="1" applyFont="1" applyFill="1" applyBorder="1" applyAlignment="1" applyProtection="1">
      <alignment horizontal="center" vertical="center"/>
      <protection locked="0"/>
    </xf>
    <xf numFmtId="165" fontId="8" fillId="2" borderId="24" xfId="0" applyNumberFormat="1" applyFont="1" applyFill="1" applyBorder="1" applyAlignment="1" applyProtection="1">
      <alignment horizontal="center" vertical="center"/>
      <protection locked="0"/>
    </xf>
    <xf numFmtId="2" fontId="8" fillId="2" borderId="12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12" xfId="0" applyFont="1" applyFill="1" applyBorder="1" applyAlignment="1">
      <alignment horizontal="center" vertical="center"/>
    </xf>
    <xf numFmtId="2" fontId="8" fillId="2" borderId="155" xfId="0" applyNumberFormat="1" applyFont="1" applyFill="1" applyBorder="1" applyAlignment="1" applyProtection="1">
      <alignment horizontal="center" vertical="center" wrapText="1"/>
      <protection locked="0"/>
    </xf>
    <xf numFmtId="0" fontId="32" fillId="2" borderId="19" xfId="0" applyFont="1" applyFill="1" applyBorder="1" applyAlignment="1">
      <alignment horizontal="center" vertical="center"/>
    </xf>
    <xf numFmtId="0" fontId="31" fillId="2" borderId="25" xfId="0" applyFont="1" applyFill="1" applyBorder="1" applyAlignment="1">
      <alignment horizontal="center" vertical="center"/>
    </xf>
    <xf numFmtId="165" fontId="8" fillId="2" borderId="125" xfId="0" applyNumberFormat="1" applyFont="1" applyFill="1" applyBorder="1" applyAlignment="1" applyProtection="1">
      <alignment horizontal="center" vertical="center"/>
      <protection locked="0"/>
    </xf>
    <xf numFmtId="0" fontId="31" fillId="2" borderId="14" xfId="0" applyFont="1" applyFill="1" applyBorder="1" applyAlignment="1">
      <alignment horizontal="center" vertical="center"/>
    </xf>
    <xf numFmtId="166" fontId="8" fillId="2" borderId="45" xfId="19" applyNumberFormat="1" applyFont="1" applyFill="1" applyBorder="1" applyAlignment="1" applyProtection="1">
      <alignment horizontal="center" vertical="center"/>
      <protection locked="0"/>
    </xf>
    <xf numFmtId="2" fontId="8" fillId="2" borderId="11" xfId="0" applyNumberFormat="1" applyFont="1" applyFill="1" applyBorder="1" applyAlignment="1" applyProtection="1">
      <alignment horizontal="center" vertical="center"/>
      <protection locked="0"/>
    </xf>
    <xf numFmtId="0" fontId="33" fillId="2" borderId="9" xfId="0" applyFont="1" applyFill="1" applyBorder="1" applyAlignment="1">
      <alignment horizontal="center" vertical="center" wrapText="1"/>
    </xf>
    <xf numFmtId="0" fontId="33" fillId="2" borderId="62" xfId="0" applyFont="1" applyFill="1" applyBorder="1" applyAlignment="1">
      <alignment horizontal="center" vertical="center" wrapText="1"/>
    </xf>
    <xf numFmtId="0" fontId="33" fillId="2" borderId="24" xfId="0" applyFont="1" applyFill="1" applyBorder="1" applyAlignment="1">
      <alignment horizontal="center" vertical="center" wrapText="1"/>
    </xf>
    <xf numFmtId="1" fontId="8" fillId="2" borderId="15" xfId="0" applyNumberFormat="1" applyFont="1" applyFill="1" applyBorder="1" applyAlignment="1" applyProtection="1">
      <alignment horizontal="center" vertical="center"/>
      <protection locked="0"/>
    </xf>
    <xf numFmtId="0" fontId="33" fillId="2" borderId="14" xfId="0" applyFont="1" applyFill="1" applyBorder="1" applyAlignment="1">
      <alignment horizontal="center" vertical="center"/>
    </xf>
    <xf numFmtId="2" fontId="8" fillId="2" borderId="76" xfId="0" applyNumberFormat="1" applyFont="1" applyFill="1" applyBorder="1" applyAlignment="1" applyProtection="1">
      <alignment horizontal="center" vertical="center"/>
      <protection locked="0"/>
    </xf>
    <xf numFmtId="2" fontId="33" fillId="2" borderId="5" xfId="0" applyNumberFormat="1" applyFont="1" applyFill="1" applyBorder="1" applyAlignment="1">
      <alignment horizontal="center" vertical="center"/>
    </xf>
    <xf numFmtId="2" fontId="8" fillId="2" borderId="19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49" xfId="0" applyFont="1" applyFill="1" applyBorder="1" applyAlignment="1" applyProtection="1">
      <alignment horizontal="left" vertical="center"/>
      <protection locked="0"/>
    </xf>
    <xf numFmtId="0" fontId="8" fillId="2" borderId="53" xfId="0" applyFont="1" applyFill="1" applyBorder="1" applyAlignment="1" applyProtection="1">
      <alignment horizontal="left" vertical="center"/>
      <protection locked="0"/>
    </xf>
    <xf numFmtId="0" fontId="8" fillId="2" borderId="44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37" xfId="0" applyFont="1" applyFill="1" applyBorder="1" applyAlignment="1" applyProtection="1">
      <alignment horizontal="center" vertical="center"/>
      <protection locked="0"/>
    </xf>
    <xf numFmtId="166" fontId="33" fillId="2" borderId="6" xfId="19" applyNumberFormat="1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2" fontId="8" fillId="2" borderId="15" xfId="0" applyNumberFormat="1" applyFont="1" applyFill="1" applyBorder="1" applyAlignment="1">
      <alignment horizontal="center" vertical="center"/>
    </xf>
    <xf numFmtId="2" fontId="8" fillId="2" borderId="153" xfId="0" applyNumberFormat="1" applyFont="1" applyFill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62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2" fontId="8" fillId="2" borderId="23" xfId="0" applyNumberFormat="1" applyFont="1" applyFill="1" applyBorder="1" applyAlignment="1">
      <alignment horizontal="center" vertical="center"/>
    </xf>
    <xf numFmtId="0" fontId="29" fillId="0" borderId="1" xfId="0" applyFont="1" applyBorder="1" applyAlignment="1" applyProtection="1">
      <alignment horizontal="center" vertical="center"/>
      <protection locked="0"/>
    </xf>
    <xf numFmtId="2" fontId="33" fillId="2" borderId="19" xfId="0" applyNumberFormat="1" applyFont="1" applyFill="1" applyBorder="1" applyAlignment="1">
      <alignment horizontal="center" vertical="center"/>
    </xf>
    <xf numFmtId="2" fontId="33" fillId="2" borderId="4" xfId="0" applyNumberFormat="1" applyFont="1" applyFill="1" applyBorder="1" applyAlignment="1">
      <alignment horizontal="center" vertical="center"/>
    </xf>
    <xf numFmtId="165" fontId="8" fillId="2" borderId="31" xfId="0" applyNumberFormat="1" applyFont="1" applyFill="1" applyBorder="1" applyAlignment="1" applyProtection="1">
      <alignment horizontal="center" vertical="center" wrapText="1"/>
      <protection locked="0"/>
    </xf>
    <xf numFmtId="165" fontId="8" fillId="2" borderId="6" xfId="0" applyNumberFormat="1" applyFont="1" applyFill="1" applyBorder="1" applyAlignment="1" applyProtection="1">
      <alignment horizontal="center" vertical="center"/>
      <protection locked="0"/>
    </xf>
    <xf numFmtId="0" fontId="8" fillId="2" borderId="14" xfId="0" applyFont="1" applyFill="1" applyBorder="1" applyAlignment="1">
      <alignment horizontal="center" vertical="center"/>
    </xf>
    <xf numFmtId="166" fontId="33" fillId="2" borderId="14" xfId="19" applyNumberFormat="1" applyFont="1" applyFill="1" applyBorder="1" applyAlignment="1">
      <alignment horizontal="center" vertical="center"/>
    </xf>
    <xf numFmtId="2" fontId="8" fillId="2" borderId="19" xfId="0" applyNumberFormat="1" applyFont="1" applyFill="1" applyBorder="1" applyAlignment="1" applyProtection="1">
      <alignment horizontal="center" vertical="center"/>
      <protection locked="0"/>
    </xf>
    <xf numFmtId="2" fontId="8" fillId="2" borderId="16" xfId="0" applyNumberFormat="1" applyFont="1" applyFill="1" applyBorder="1" applyAlignment="1" applyProtection="1">
      <alignment horizontal="center" vertical="center"/>
      <protection locked="0"/>
    </xf>
    <xf numFmtId="0" fontId="33" fillId="2" borderId="44" xfId="0" applyFont="1" applyFill="1" applyBorder="1" applyAlignment="1" applyProtection="1">
      <alignment horizontal="center" vertical="center"/>
      <protection locked="0"/>
    </xf>
    <xf numFmtId="2" fontId="8" fillId="2" borderId="5" xfId="0" applyNumberFormat="1" applyFont="1" applyFill="1" applyBorder="1" applyAlignment="1">
      <alignment horizontal="center" vertical="center"/>
    </xf>
    <xf numFmtId="165" fontId="8" fillId="2" borderId="13" xfId="0" applyNumberFormat="1" applyFont="1" applyFill="1" applyBorder="1" applyAlignment="1" applyProtection="1">
      <alignment horizontal="center" vertical="center"/>
      <protection locked="0"/>
    </xf>
    <xf numFmtId="166" fontId="8" fillId="2" borderId="14" xfId="19" applyNumberFormat="1" applyFont="1" applyFill="1" applyBorder="1" applyAlignment="1" applyProtection="1">
      <alignment horizontal="center" vertical="center"/>
      <protection locked="0"/>
    </xf>
    <xf numFmtId="49" fontId="32" fillId="2" borderId="22" xfId="0" applyNumberFormat="1" applyFont="1" applyFill="1" applyBorder="1" applyAlignment="1">
      <alignment horizontal="center" vertical="center"/>
    </xf>
    <xf numFmtId="0" fontId="30" fillId="2" borderId="9" xfId="0" applyFont="1" applyFill="1" applyBorder="1" applyAlignment="1" applyProtection="1">
      <alignment horizontal="center" vertical="center" wrapText="1"/>
      <protection locked="0"/>
    </xf>
    <xf numFmtId="0" fontId="30" fillId="2" borderId="62" xfId="0" applyFont="1" applyFill="1" applyBorder="1" applyAlignment="1" applyProtection="1">
      <alignment horizontal="center" vertical="center" wrapText="1"/>
      <protection locked="0"/>
    </xf>
    <xf numFmtId="0" fontId="30" fillId="2" borderId="24" xfId="0" applyFont="1" applyFill="1" applyBorder="1" applyAlignment="1" applyProtection="1">
      <alignment horizontal="center" vertical="center" wrapText="1"/>
      <protection locked="0"/>
    </xf>
    <xf numFmtId="0" fontId="8" fillId="2" borderId="21" xfId="0" applyFont="1" applyFill="1" applyBorder="1" applyAlignment="1" applyProtection="1">
      <alignment horizontal="center" vertical="center"/>
      <protection locked="0"/>
    </xf>
    <xf numFmtId="0" fontId="33" fillId="2" borderId="31" xfId="0" applyFont="1" applyFill="1" applyBorder="1" applyAlignment="1">
      <alignment horizontal="center" vertical="center"/>
    </xf>
    <xf numFmtId="0" fontId="33" fillId="2" borderId="21" xfId="0" applyFont="1" applyFill="1" applyBorder="1" applyAlignment="1">
      <alignment horizontal="center" vertical="center"/>
    </xf>
    <xf numFmtId="0" fontId="8" fillId="2" borderId="9" xfId="11" applyFont="1" applyFill="1" applyBorder="1" applyAlignment="1" applyProtection="1">
      <alignment horizontal="center" vertical="center" wrapText="1"/>
      <protection locked="0"/>
    </xf>
    <xf numFmtId="0" fontId="8" fillId="2" borderId="62" xfId="11" applyFont="1" applyFill="1" applyBorder="1" applyAlignment="1" applyProtection="1">
      <alignment horizontal="center" vertical="center" wrapText="1"/>
      <protection locked="0"/>
    </xf>
    <xf numFmtId="0" fontId="8" fillId="2" borderId="24" xfId="11" applyFont="1" applyFill="1" applyBorder="1" applyAlignment="1" applyProtection="1">
      <alignment horizontal="center" vertical="center" wrapText="1"/>
      <protection locked="0"/>
    </xf>
    <xf numFmtId="166" fontId="8" fillId="2" borderId="7" xfId="19" applyNumberFormat="1" applyFont="1" applyFill="1" applyBorder="1" applyAlignment="1" applyProtection="1">
      <alignment horizontal="center" vertical="center"/>
      <protection locked="0"/>
    </xf>
    <xf numFmtId="2" fontId="33" fillId="2" borderId="16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 applyProtection="1">
      <alignment horizontal="center" vertical="center"/>
      <protection locked="0"/>
    </xf>
    <xf numFmtId="0" fontId="8" fillId="2" borderId="38" xfId="0" applyFont="1" applyFill="1" applyBorder="1" applyAlignment="1" applyProtection="1">
      <alignment horizontal="center" vertical="center"/>
      <protection locked="0"/>
    </xf>
    <xf numFmtId="2" fontId="8" fillId="2" borderId="10" xfId="0" applyNumberFormat="1" applyFont="1" applyFill="1" applyBorder="1" applyAlignment="1" applyProtection="1">
      <alignment horizontal="center" vertical="center"/>
      <protection locked="0"/>
    </xf>
    <xf numFmtId="2" fontId="8" fillId="2" borderId="25" xfId="0" applyNumberFormat="1" applyFont="1" applyFill="1" applyBorder="1" applyAlignment="1" applyProtection="1">
      <alignment horizontal="center" vertical="center"/>
      <protection locked="0"/>
    </xf>
    <xf numFmtId="2" fontId="8" fillId="2" borderId="168" xfId="0" applyNumberFormat="1" applyFont="1" applyFill="1" applyBorder="1" applyAlignment="1" applyProtection="1">
      <alignment horizontal="center" vertical="center"/>
      <protection locked="0"/>
    </xf>
    <xf numFmtId="0" fontId="8" fillId="2" borderId="10" xfId="0" applyFont="1" applyFill="1" applyBorder="1" applyAlignment="1" applyProtection="1">
      <alignment horizontal="center" vertical="center"/>
      <protection locked="0"/>
    </xf>
    <xf numFmtId="0" fontId="8" fillId="2" borderId="25" xfId="0" applyFont="1" applyFill="1" applyBorder="1" applyAlignment="1" applyProtection="1">
      <alignment horizontal="center" vertical="center"/>
      <protection locked="0"/>
    </xf>
    <xf numFmtId="2" fontId="8" fillId="2" borderId="27" xfId="0" applyNumberFormat="1" applyFont="1" applyFill="1" applyBorder="1" applyAlignment="1" applyProtection="1">
      <alignment horizontal="center" vertical="center"/>
      <protection locked="0"/>
    </xf>
    <xf numFmtId="2" fontId="33" fillId="2" borderId="14" xfId="0" applyNumberFormat="1" applyFont="1" applyFill="1" applyBorder="1" applyAlignment="1" applyProtection="1">
      <alignment horizontal="center" vertical="center"/>
      <protection locked="0"/>
    </xf>
    <xf numFmtId="2" fontId="8" fillId="2" borderId="17" xfId="0" applyNumberFormat="1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/>
    </xf>
    <xf numFmtId="0" fontId="23" fillId="2" borderId="9" xfId="0" applyFont="1" applyFill="1" applyBorder="1" applyAlignment="1" applyProtection="1">
      <alignment horizontal="center" vertical="center"/>
      <protection locked="0"/>
    </xf>
    <xf numFmtId="0" fontId="23" fillId="2" borderId="24" xfId="0" applyFont="1" applyFill="1" applyBorder="1" applyAlignment="1" applyProtection="1">
      <alignment horizontal="center" vertical="center"/>
      <protection locked="0"/>
    </xf>
    <xf numFmtId="2" fontId="8" fillId="2" borderId="17" xfId="0" applyNumberFormat="1" applyFont="1" applyFill="1" applyBorder="1" applyAlignment="1" applyProtection="1">
      <alignment horizontal="center" vertical="center"/>
      <protection locked="0"/>
    </xf>
    <xf numFmtId="2" fontId="8" fillId="2" borderId="29" xfId="0" applyNumberFormat="1" applyFont="1" applyFill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 applyProtection="1">
      <alignment horizontal="center" vertical="center"/>
      <protection locked="0"/>
    </xf>
    <xf numFmtId="2" fontId="33" fillId="2" borderId="4" xfId="0" applyNumberFormat="1" applyFont="1" applyFill="1" applyBorder="1" applyAlignment="1" applyProtection="1">
      <alignment horizontal="center" vertical="center"/>
      <protection locked="0"/>
    </xf>
    <xf numFmtId="166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142" xfId="0" applyFont="1" applyFill="1" applyBorder="1" applyAlignment="1" applyProtection="1">
      <alignment horizontal="center" vertical="center" wrapText="1"/>
      <protection locked="0"/>
    </xf>
    <xf numFmtId="0" fontId="8" fillId="2" borderId="143" xfId="0" applyFont="1" applyFill="1" applyBorder="1" applyAlignment="1" applyProtection="1">
      <alignment horizontal="center" vertical="center" wrapText="1"/>
      <protection locked="0"/>
    </xf>
    <xf numFmtId="0" fontId="8" fillId="2" borderId="125" xfId="0" applyFont="1" applyFill="1" applyBorder="1" applyAlignment="1" applyProtection="1">
      <alignment horizontal="center" vertical="center" wrapText="1"/>
      <protection locked="0"/>
    </xf>
    <xf numFmtId="0" fontId="8" fillId="2" borderId="162" xfId="0" applyFont="1" applyFill="1" applyBorder="1" applyAlignment="1" applyProtection="1">
      <alignment horizontal="center" vertical="center" wrapText="1"/>
      <protection locked="0"/>
    </xf>
    <xf numFmtId="2" fontId="8" fillId="2" borderId="46" xfId="0" applyNumberFormat="1" applyFont="1" applyFill="1" applyBorder="1" applyAlignment="1" applyProtection="1">
      <alignment horizontal="center" vertical="center"/>
      <protection locked="0"/>
    </xf>
    <xf numFmtId="43" fontId="8" fillId="2" borderId="9" xfId="1" applyFont="1" applyFill="1" applyBorder="1" applyAlignment="1" applyProtection="1">
      <alignment horizontal="center" vertical="center"/>
      <protection locked="0"/>
    </xf>
    <xf numFmtId="43" fontId="8" fillId="2" borderId="62" xfId="1" applyFont="1" applyFill="1" applyBorder="1" applyAlignment="1" applyProtection="1">
      <alignment horizontal="center" vertical="center"/>
      <protection locked="0"/>
    </xf>
    <xf numFmtId="43" fontId="8" fillId="2" borderId="24" xfId="1" applyFont="1" applyFill="1" applyBorder="1" applyAlignment="1" applyProtection="1">
      <alignment horizontal="center" vertical="center"/>
      <protection locked="0"/>
    </xf>
    <xf numFmtId="2" fontId="8" fillId="0" borderId="5" xfId="0" applyNumberFormat="1" applyFont="1" applyBorder="1" applyAlignment="1" applyProtection="1">
      <alignment horizontal="center" vertical="center" wrapText="1"/>
      <protection locked="0"/>
    </xf>
    <xf numFmtId="0" fontId="8" fillId="2" borderId="17" xfId="0" applyFont="1" applyFill="1" applyBorder="1" applyAlignment="1" applyProtection="1">
      <alignment horizontal="center" vertical="center"/>
      <protection locked="0"/>
    </xf>
    <xf numFmtId="0" fontId="8" fillId="2" borderId="166" xfId="0" applyFont="1" applyFill="1" applyBorder="1" applyAlignment="1" applyProtection="1">
      <alignment horizontal="center" vertical="center"/>
      <protection locked="0"/>
    </xf>
    <xf numFmtId="0" fontId="8" fillId="2" borderId="105" xfId="0" applyFont="1" applyFill="1" applyBorder="1" applyAlignment="1" applyProtection="1">
      <alignment horizontal="center" vertical="center"/>
      <protection locked="0"/>
    </xf>
    <xf numFmtId="0" fontId="8" fillId="2" borderId="106" xfId="0" applyFont="1" applyFill="1" applyBorder="1" applyAlignment="1" applyProtection="1">
      <alignment horizontal="center" vertical="center"/>
      <protection locked="0"/>
    </xf>
    <xf numFmtId="0" fontId="8" fillId="2" borderId="49" xfId="0" applyFont="1" applyFill="1" applyBorder="1" applyAlignment="1" applyProtection="1">
      <alignment horizontal="center" vertical="center"/>
      <protection locked="0"/>
    </xf>
    <xf numFmtId="0" fontId="8" fillId="2" borderId="51" xfId="0" applyFont="1" applyFill="1" applyBorder="1" applyAlignment="1" applyProtection="1">
      <alignment horizontal="center" vertical="center"/>
      <protection locked="0"/>
    </xf>
    <xf numFmtId="0" fontId="8" fillId="2" borderId="53" xfId="0" applyFont="1" applyFill="1" applyBorder="1" applyAlignment="1" applyProtection="1">
      <alignment horizontal="center" vertical="center"/>
      <protection locked="0"/>
    </xf>
    <xf numFmtId="0" fontId="33" fillId="4" borderId="9" xfId="0" applyFont="1" applyFill="1" applyBorder="1" applyAlignment="1">
      <alignment horizontal="center" vertical="center"/>
    </xf>
    <xf numFmtId="0" fontId="33" fillId="4" borderId="24" xfId="0" applyFont="1" applyFill="1" applyBorder="1" applyAlignment="1">
      <alignment horizontal="center" vertical="center"/>
    </xf>
    <xf numFmtId="0" fontId="33" fillId="2" borderId="53" xfId="0" applyFont="1" applyFill="1" applyBorder="1" applyAlignment="1">
      <alignment horizontal="center" vertical="center"/>
    </xf>
    <xf numFmtId="166" fontId="8" fillId="2" borderId="6" xfId="19" applyNumberFormat="1" applyFont="1" applyFill="1" applyBorder="1" applyAlignment="1" applyProtection="1">
      <alignment horizontal="center" vertical="center"/>
      <protection locked="0"/>
    </xf>
    <xf numFmtId="2" fontId="33" fillId="2" borderId="5" xfId="0" applyNumberFormat="1" applyFont="1" applyFill="1" applyBorder="1" applyAlignment="1" applyProtection="1">
      <alignment horizontal="center" vertical="center"/>
      <protection locked="0"/>
    </xf>
    <xf numFmtId="2" fontId="8" fillId="0" borderId="4" xfId="0" applyNumberFormat="1" applyFont="1" applyBorder="1" applyAlignment="1" applyProtection="1">
      <alignment horizontal="center" vertical="center" wrapText="1"/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165" fontId="8" fillId="8" borderId="1" xfId="0" applyNumberFormat="1" applyFont="1" applyFill="1" applyBorder="1" applyAlignment="1" applyProtection="1">
      <alignment horizontal="center" vertical="center"/>
      <protection locked="0"/>
    </xf>
    <xf numFmtId="0" fontId="33" fillId="4" borderId="62" xfId="0" applyFont="1" applyFill="1" applyBorder="1" applyAlignment="1">
      <alignment horizontal="center" vertical="center"/>
    </xf>
    <xf numFmtId="2" fontId="8" fillId="2" borderId="22" xfId="0" applyNumberFormat="1" applyFont="1" applyFill="1" applyBorder="1" applyAlignment="1" applyProtection="1">
      <alignment horizontal="center" vertical="center"/>
      <protection locked="0"/>
    </xf>
    <xf numFmtId="49" fontId="31" fillId="2" borderId="5" xfId="0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5" fontId="33" fillId="2" borderId="1" xfId="0" applyNumberFormat="1" applyFont="1" applyFill="1" applyBorder="1" applyAlignment="1" applyProtection="1">
      <alignment horizontal="center" vertical="center"/>
      <protection locked="0"/>
    </xf>
    <xf numFmtId="2" fontId="33" fillId="0" borderId="4" xfId="0" applyNumberFormat="1" applyFont="1" applyBorder="1" applyAlignment="1">
      <alignment horizontal="center" vertical="center"/>
    </xf>
    <xf numFmtId="2" fontId="8" fillId="2" borderId="65" xfId="0" applyNumberFormat="1" applyFont="1" applyFill="1" applyBorder="1" applyAlignment="1" applyProtection="1">
      <alignment horizontal="center" vertical="center"/>
      <protection locked="0"/>
    </xf>
    <xf numFmtId="2" fontId="8" fillId="0" borderId="4" xfId="0" applyNumberFormat="1" applyFont="1" applyBorder="1" applyAlignment="1" applyProtection="1">
      <alignment horizontal="center" vertical="center"/>
      <protection locked="0"/>
    </xf>
    <xf numFmtId="0" fontId="55" fillId="2" borderId="113" xfId="0" applyFont="1" applyFill="1" applyBorder="1" applyAlignment="1" applyProtection="1">
      <alignment horizontal="center" vertical="center"/>
      <protection locked="0"/>
    </xf>
    <xf numFmtId="0" fontId="55" fillId="2" borderId="62" xfId="0" applyFont="1" applyFill="1" applyBorder="1" applyAlignment="1" applyProtection="1">
      <alignment horizontal="center" vertical="center"/>
      <protection locked="0"/>
    </xf>
    <xf numFmtId="0" fontId="8" fillId="2" borderId="28" xfId="0" applyFont="1" applyFill="1" applyBorder="1" applyAlignment="1" applyProtection="1">
      <alignment horizontal="center" vertical="center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1" fontId="8" fillId="2" borderId="1" xfId="0" applyNumberFormat="1" applyFont="1" applyFill="1" applyBorder="1" applyAlignment="1" applyProtection="1">
      <alignment horizontal="center" vertical="center"/>
      <protection locked="0"/>
    </xf>
    <xf numFmtId="165" fontId="8" fillId="2" borderId="97" xfId="0" applyNumberFormat="1" applyFont="1" applyFill="1" applyBorder="1" applyAlignment="1" applyProtection="1">
      <alignment horizontal="center" vertical="center"/>
      <protection locked="0"/>
    </xf>
    <xf numFmtId="2" fontId="33" fillId="2" borderId="68" xfId="0" applyNumberFormat="1" applyFont="1" applyFill="1" applyBorder="1" applyAlignment="1">
      <alignment horizontal="center" vertical="center"/>
    </xf>
    <xf numFmtId="165" fontId="8" fillId="2" borderId="31" xfId="0" applyNumberFormat="1" applyFont="1" applyFill="1" applyBorder="1" applyAlignment="1" applyProtection="1">
      <alignment horizontal="center" vertical="center"/>
      <protection locked="0"/>
    </xf>
    <xf numFmtId="2" fontId="33" fillId="2" borderId="17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3" fillId="2" borderId="27" xfId="0" applyFont="1" applyFill="1" applyBorder="1" applyAlignment="1">
      <alignment horizontal="center" vertical="center"/>
    </xf>
    <xf numFmtId="2" fontId="8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69" xfId="0" applyFont="1" applyFill="1" applyBorder="1" applyAlignment="1">
      <alignment horizontal="center" vertical="center"/>
    </xf>
    <xf numFmtId="0" fontId="8" fillId="2" borderId="70" xfId="0" applyFont="1" applyFill="1" applyBorder="1" applyAlignment="1">
      <alignment horizontal="center" vertical="center"/>
    </xf>
    <xf numFmtId="0" fontId="8" fillId="2" borderId="15" xfId="0" applyFont="1" applyFill="1" applyBorder="1" applyAlignment="1" applyProtection="1">
      <alignment horizontal="center" vertical="center" wrapText="1"/>
      <protection locked="0"/>
    </xf>
    <xf numFmtId="166" fontId="33" fillId="2" borderId="8" xfId="0" applyNumberFormat="1" applyFont="1" applyFill="1" applyBorder="1" applyAlignment="1">
      <alignment horizontal="center" vertical="center"/>
    </xf>
    <xf numFmtId="0" fontId="55" fillId="2" borderId="9" xfId="0" applyFont="1" applyFill="1" applyBorder="1" applyAlignment="1" applyProtection="1">
      <alignment horizontal="center" vertical="center" wrapText="1"/>
      <protection locked="0"/>
    </xf>
    <xf numFmtId="0" fontId="55" fillId="2" borderId="62" xfId="0" applyFont="1" applyFill="1" applyBorder="1" applyAlignment="1" applyProtection="1">
      <alignment horizontal="center" vertical="center" wrapText="1"/>
      <protection locked="0"/>
    </xf>
    <xf numFmtId="0" fontId="55" fillId="2" borderId="94" xfId="0" applyFont="1" applyFill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>
      <alignment horizontal="center" vertical="center"/>
    </xf>
    <xf numFmtId="49" fontId="32" fillId="2" borderId="23" xfId="0" applyNumberFormat="1" applyFont="1" applyFill="1" applyBorder="1" applyAlignment="1">
      <alignment horizontal="center" vertical="center" wrapText="1"/>
    </xf>
    <xf numFmtId="2" fontId="55" fillId="2" borderId="19" xfId="0" applyNumberFormat="1" applyFont="1" applyFill="1" applyBorder="1" applyAlignment="1" applyProtection="1">
      <alignment horizontal="center" vertical="center"/>
      <protection locked="0"/>
    </xf>
    <xf numFmtId="2" fontId="8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33" fillId="2" borderId="5" xfId="0" applyFont="1" applyFill="1" applyBorder="1" applyAlignment="1" applyProtection="1">
      <alignment horizontal="center" vertical="center"/>
      <protection locked="0"/>
    </xf>
    <xf numFmtId="2" fontId="8" fillId="2" borderId="30" xfId="0" applyNumberFormat="1" applyFont="1" applyFill="1" applyBorder="1" applyAlignment="1" applyProtection="1">
      <alignment horizontal="center" vertical="center"/>
      <protection locked="0"/>
    </xf>
    <xf numFmtId="0" fontId="39" fillId="2" borderId="1" xfId="0" applyFont="1" applyFill="1" applyBorder="1" applyAlignment="1">
      <alignment horizontal="center" vertical="center"/>
    </xf>
    <xf numFmtId="2" fontId="8" fillId="0" borderId="5" xfId="0" applyNumberFormat="1" applyFont="1" applyBorder="1" applyAlignment="1" applyProtection="1">
      <alignment horizontal="center" vertical="center"/>
      <protection locked="0"/>
    </xf>
    <xf numFmtId="0" fontId="31" fillId="2" borderId="66" xfId="0" applyFont="1" applyFill="1" applyBorder="1" applyAlignment="1">
      <alignment horizontal="center" vertical="center"/>
    </xf>
    <xf numFmtId="2" fontId="33" fillId="0" borderId="22" xfId="0" applyNumberFormat="1" applyFont="1" applyBorder="1" applyAlignment="1">
      <alignment horizontal="center" vertical="center"/>
    </xf>
    <xf numFmtId="166" fontId="8" fillId="2" borderId="19" xfId="19" applyNumberFormat="1" applyFont="1" applyFill="1" applyBorder="1" applyAlignment="1" applyProtection="1">
      <alignment horizontal="center" vertical="center"/>
      <protection locked="0"/>
    </xf>
    <xf numFmtId="0" fontId="29" fillId="2" borderId="111" xfId="0" applyFont="1" applyFill="1" applyBorder="1" applyAlignment="1" applyProtection="1">
      <alignment horizontal="center" vertical="center"/>
      <protection locked="0"/>
    </xf>
    <xf numFmtId="0" fontId="29" fillId="2" borderId="169" xfId="0" applyFont="1" applyFill="1" applyBorder="1" applyAlignment="1" applyProtection="1">
      <alignment horizontal="center" vertical="center"/>
      <protection locked="0"/>
    </xf>
    <xf numFmtId="0" fontId="29" fillId="2" borderId="170" xfId="0" applyFont="1" applyFill="1" applyBorder="1" applyAlignment="1" applyProtection="1">
      <alignment horizontal="center" vertical="center"/>
      <protection locked="0"/>
    </xf>
    <xf numFmtId="2" fontId="8" fillId="2" borderId="146" xfId="0" applyNumberFormat="1" applyFont="1" applyFill="1" applyBorder="1" applyAlignment="1" applyProtection="1">
      <alignment horizontal="center" vertical="center" wrapText="1"/>
      <protection locked="0"/>
    </xf>
    <xf numFmtId="0" fontId="33" fillId="2" borderId="60" xfId="0" applyFont="1" applyFill="1" applyBorder="1" applyAlignment="1">
      <alignment horizontal="center" vertical="center"/>
    </xf>
    <xf numFmtId="2" fontId="55" fillId="0" borderId="4" xfId="0" applyNumberFormat="1" applyFont="1" applyBorder="1" applyAlignment="1" applyProtection="1">
      <alignment horizontal="center" vertical="center" wrapText="1"/>
      <protection locked="0"/>
    </xf>
    <xf numFmtId="2" fontId="8" fillId="2" borderId="18" xfId="0" applyNumberFormat="1" applyFont="1" applyFill="1" applyBorder="1" applyAlignment="1" applyProtection="1">
      <alignment horizontal="center" vertical="center"/>
      <protection locked="0"/>
    </xf>
    <xf numFmtId="2" fontId="8" fillId="0" borderId="19" xfId="0" applyNumberFormat="1" applyFont="1" applyBorder="1" applyAlignment="1" applyProtection="1">
      <alignment horizontal="center" vertical="center"/>
      <protection locked="0"/>
    </xf>
    <xf numFmtId="2" fontId="8" fillId="2" borderId="46" xfId="0" applyNumberFormat="1" applyFont="1" applyFill="1" applyBorder="1" applyAlignment="1">
      <alignment horizontal="center" vertical="center"/>
    </xf>
    <xf numFmtId="2" fontId="8" fillId="2" borderId="30" xfId="0" applyNumberFormat="1" applyFont="1" applyFill="1" applyBorder="1" applyAlignment="1">
      <alignment horizontal="center" vertical="center"/>
    </xf>
    <xf numFmtId="2" fontId="33" fillId="2" borderId="29" xfId="0" applyNumberFormat="1" applyFont="1" applyFill="1" applyBorder="1" applyAlignment="1">
      <alignment horizontal="center" vertical="center"/>
    </xf>
    <xf numFmtId="2" fontId="33" fillId="2" borderId="15" xfId="0" applyNumberFormat="1" applyFont="1" applyFill="1" applyBorder="1" applyAlignment="1">
      <alignment horizontal="center" vertical="center"/>
    </xf>
    <xf numFmtId="0" fontId="8" fillId="2" borderId="48" xfId="0" applyFont="1" applyFill="1" applyBorder="1" applyAlignment="1" applyProtection="1">
      <alignment horizontal="center" vertical="center"/>
      <protection locked="0"/>
    </xf>
    <xf numFmtId="0" fontId="8" fillId="2" borderId="36" xfId="0" applyFont="1" applyFill="1" applyBorder="1" applyAlignment="1" applyProtection="1">
      <alignment horizontal="center" vertical="center"/>
      <protection locked="0"/>
    </xf>
    <xf numFmtId="0" fontId="8" fillId="2" borderId="15" xfId="0" applyFont="1" applyFill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/>
    </xf>
    <xf numFmtId="2" fontId="8" fillId="2" borderId="26" xfId="0" applyNumberFormat="1" applyFont="1" applyFill="1" applyBorder="1" applyAlignment="1" applyProtection="1">
      <alignment horizontal="center" vertical="center"/>
      <protection locked="0"/>
    </xf>
    <xf numFmtId="0" fontId="8" fillId="2" borderId="60" xfId="0" applyFont="1" applyFill="1" applyBorder="1" applyAlignment="1" applyProtection="1">
      <alignment horizontal="center" vertical="center"/>
      <protection locked="0"/>
    </xf>
    <xf numFmtId="0" fontId="8" fillId="2" borderId="69" xfId="0" applyFont="1" applyFill="1" applyBorder="1" applyAlignment="1" applyProtection="1">
      <alignment horizontal="center" vertical="center"/>
      <protection locked="0"/>
    </xf>
    <xf numFmtId="0" fontId="8" fillId="2" borderId="61" xfId="0" applyFont="1" applyFill="1" applyBorder="1" applyAlignment="1" applyProtection="1">
      <alignment horizontal="center" vertical="center"/>
      <protection locked="0"/>
    </xf>
    <xf numFmtId="2" fontId="8" fillId="2" borderId="45" xfId="0" applyNumberFormat="1" applyFont="1" applyFill="1" applyBorder="1" applyAlignment="1" applyProtection="1">
      <alignment horizontal="center" vertical="center"/>
      <protection locked="0"/>
    </xf>
    <xf numFmtId="0" fontId="33" fillId="2" borderId="16" xfId="0" applyFont="1" applyFill="1" applyBorder="1" applyAlignment="1">
      <alignment horizontal="center" vertical="center"/>
    </xf>
    <xf numFmtId="2" fontId="8" fillId="2" borderId="19" xfId="0" applyNumberFormat="1" applyFont="1" applyFill="1" applyBorder="1" applyAlignment="1">
      <alignment horizontal="center" vertical="center"/>
    </xf>
    <xf numFmtId="2" fontId="33" fillId="2" borderId="21" xfId="0" applyNumberFormat="1" applyFont="1" applyFill="1" applyBorder="1" applyAlignment="1">
      <alignment horizontal="center" vertical="center" wrapText="1"/>
    </xf>
    <xf numFmtId="0" fontId="33" fillId="2" borderId="79" xfId="0" applyFont="1" applyFill="1" applyBorder="1" applyAlignment="1">
      <alignment horizontal="center" vertical="center"/>
    </xf>
    <xf numFmtId="166" fontId="33" fillId="2" borderId="14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165" fontId="8" fillId="2" borderId="92" xfId="0" applyNumberFormat="1" applyFont="1" applyFill="1" applyBorder="1" applyAlignment="1" applyProtection="1">
      <alignment horizontal="center" vertical="center"/>
      <protection locked="0"/>
    </xf>
    <xf numFmtId="166" fontId="8" fillId="2" borderId="8" xfId="19" applyNumberFormat="1" applyFont="1" applyFill="1" applyBorder="1" applyAlignment="1" applyProtection="1">
      <alignment horizontal="center" vertical="center" wrapText="1"/>
      <protection locked="0"/>
    </xf>
    <xf numFmtId="2" fontId="33" fillId="2" borderId="44" xfId="0" applyNumberFormat="1" applyFont="1" applyFill="1" applyBorder="1" applyAlignment="1">
      <alignment horizontal="center" vertical="center"/>
    </xf>
    <xf numFmtId="2" fontId="33" fillId="2" borderId="28" xfId="0" applyNumberFormat="1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 applyProtection="1">
      <alignment horizontal="center" vertical="center"/>
      <protection locked="0"/>
    </xf>
    <xf numFmtId="2" fontId="33" fillId="2" borderId="77" xfId="0" applyNumberFormat="1" applyFont="1" applyFill="1" applyBorder="1" applyAlignment="1" applyProtection="1">
      <alignment horizontal="center" vertical="center"/>
      <protection locked="0"/>
    </xf>
    <xf numFmtId="0" fontId="29" fillId="2" borderId="31" xfId="0" applyFont="1" applyFill="1" applyBorder="1" applyAlignment="1" applyProtection="1">
      <alignment horizontal="center" vertical="center"/>
      <protection locked="0"/>
    </xf>
    <xf numFmtId="0" fontId="55" fillId="2" borderId="10" xfId="0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>
      <alignment horizontal="center" vertical="center"/>
    </xf>
    <xf numFmtId="0" fontId="8" fillId="2" borderId="44" xfId="0" applyFont="1" applyFill="1" applyBorder="1" applyAlignment="1" applyProtection="1">
      <alignment horizontal="center" vertical="center"/>
      <protection locked="0"/>
    </xf>
    <xf numFmtId="165" fontId="8" fillId="2" borderId="14" xfId="0" applyNumberFormat="1" applyFont="1" applyFill="1" applyBorder="1" applyAlignment="1" applyProtection="1">
      <alignment horizontal="center" vertical="center"/>
      <protection locked="0"/>
    </xf>
    <xf numFmtId="0" fontId="31" fillId="2" borderId="19" xfId="0" applyFont="1" applyFill="1" applyBorder="1" applyAlignment="1">
      <alignment horizontal="center" vertical="center"/>
    </xf>
    <xf numFmtId="166" fontId="33" fillId="2" borderId="7" xfId="0" applyNumberFormat="1" applyFont="1" applyFill="1" applyBorder="1" applyAlignment="1">
      <alignment horizontal="center" vertical="center"/>
    </xf>
    <xf numFmtId="0" fontId="8" fillId="2" borderId="110" xfId="0" applyFont="1" applyFill="1" applyBorder="1" applyAlignment="1" applyProtection="1">
      <alignment horizontal="center" vertical="center"/>
      <protection locked="0"/>
    </xf>
    <xf numFmtId="0" fontId="8" fillId="2" borderId="111" xfId="0" applyFont="1" applyFill="1" applyBorder="1" applyAlignment="1" applyProtection="1">
      <alignment horizontal="center" vertical="center"/>
      <protection locked="0"/>
    </xf>
    <xf numFmtId="2" fontId="33" fillId="0" borderId="12" xfId="0" applyNumberFormat="1" applyFont="1" applyBorder="1" applyAlignment="1">
      <alignment horizontal="center" vertical="center"/>
    </xf>
    <xf numFmtId="2" fontId="32" fillId="2" borderId="27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 applyProtection="1">
      <alignment horizontal="center" vertical="center" wrapText="1"/>
      <protection locked="0"/>
    </xf>
    <xf numFmtId="0" fontId="29" fillId="2" borderId="14" xfId="0" applyFont="1" applyFill="1" applyBorder="1" applyAlignment="1" applyProtection="1">
      <alignment horizontal="center" vertical="center"/>
      <protection locked="0"/>
    </xf>
    <xf numFmtId="1" fontId="8" fillId="2" borderId="25" xfId="0" applyNumberFormat="1" applyFont="1" applyFill="1" applyBorder="1" applyAlignment="1" applyProtection="1">
      <alignment horizontal="center" vertical="center"/>
      <protection locked="0"/>
    </xf>
    <xf numFmtId="166" fontId="8" fillId="2" borderId="2" xfId="0" applyNumberFormat="1" applyFont="1" applyFill="1" applyBorder="1" applyAlignment="1" applyProtection="1">
      <alignment horizontal="center" vertical="center"/>
      <protection locked="0"/>
    </xf>
    <xf numFmtId="0" fontId="31" fillId="2" borderId="34" xfId="0" applyFont="1" applyFill="1" applyBorder="1" applyAlignment="1">
      <alignment horizontal="center" vertical="center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49" fontId="32" fillId="2" borderId="23" xfId="0" applyNumberFormat="1" applyFont="1" applyFill="1" applyBorder="1" applyAlignment="1">
      <alignment horizontal="center" vertical="center"/>
    </xf>
    <xf numFmtId="2" fontId="8" fillId="2" borderId="16" xfId="0" applyNumberFormat="1" applyFont="1" applyFill="1" applyBorder="1" applyAlignment="1">
      <alignment horizontal="center" vertical="center"/>
    </xf>
    <xf numFmtId="165" fontId="8" fillId="2" borderId="14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6" xfId="0" applyNumberFormat="1" applyFont="1" applyFill="1" applyBorder="1" applyAlignment="1" applyProtection="1">
      <alignment horizontal="center" vertical="center" wrapText="1"/>
      <protection locked="0"/>
    </xf>
    <xf numFmtId="2" fontId="33" fillId="2" borderId="23" xfId="0" applyNumberFormat="1" applyFont="1" applyFill="1" applyBorder="1" applyAlignment="1">
      <alignment horizontal="center" vertical="center"/>
    </xf>
    <xf numFmtId="2" fontId="8" fillId="0" borderId="20" xfId="0" applyNumberFormat="1" applyFont="1" applyBorder="1" applyAlignment="1" applyProtection="1">
      <alignment horizontal="center" vertical="center"/>
      <protection locked="0"/>
    </xf>
    <xf numFmtId="2" fontId="55" fillId="2" borderId="165" xfId="0" applyNumberFormat="1" applyFont="1" applyFill="1" applyBorder="1" applyAlignment="1" applyProtection="1">
      <alignment horizontal="center" vertical="center" wrapText="1"/>
      <protection locked="0"/>
    </xf>
    <xf numFmtId="2" fontId="55" fillId="2" borderId="104" xfId="0" applyNumberFormat="1" applyFont="1" applyFill="1" applyBorder="1" applyAlignment="1" applyProtection="1">
      <alignment horizontal="center" vertical="center" wrapText="1"/>
      <protection locked="0"/>
    </xf>
    <xf numFmtId="2" fontId="55" fillId="2" borderId="112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2" fontId="32" fillId="2" borderId="26" xfId="0" applyNumberFormat="1" applyFont="1" applyFill="1" applyBorder="1" applyAlignment="1">
      <alignment horizontal="center" vertical="center"/>
    </xf>
    <xf numFmtId="2" fontId="55" fillId="0" borderId="5" xfId="0" applyNumberFormat="1" applyFont="1" applyBorder="1" applyAlignment="1" applyProtection="1">
      <alignment horizontal="center" vertical="center" wrapText="1"/>
      <protection locked="0"/>
    </xf>
    <xf numFmtId="0" fontId="8" fillId="2" borderId="27" xfId="0" applyFont="1" applyFill="1" applyBorder="1" applyAlignment="1" applyProtection="1">
      <alignment horizontal="center" vertical="center"/>
      <protection locked="0"/>
    </xf>
    <xf numFmtId="0" fontId="31" fillId="2" borderId="9" xfId="0" applyFont="1" applyFill="1" applyBorder="1" applyAlignment="1" applyProtection="1">
      <alignment horizontal="center" vertical="center"/>
      <protection locked="0"/>
    </xf>
    <xf numFmtId="0" fontId="31" fillId="2" borderId="62" xfId="0" applyFont="1" applyFill="1" applyBorder="1" applyAlignment="1" applyProtection="1">
      <alignment horizontal="center" vertical="center"/>
      <protection locked="0"/>
    </xf>
    <xf numFmtId="1" fontId="8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62" xfId="0" applyFont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 vertical="center" wrapText="1"/>
      <protection locked="0"/>
    </xf>
    <xf numFmtId="2" fontId="8" fillId="2" borderId="45" xfId="0" applyNumberFormat="1" applyFont="1" applyFill="1" applyBorder="1" applyAlignment="1">
      <alignment horizontal="center" vertical="center"/>
    </xf>
    <xf numFmtId="2" fontId="8" fillId="2" borderId="29" xfId="0" applyNumberFormat="1" applyFont="1" applyFill="1" applyBorder="1" applyAlignment="1">
      <alignment horizontal="center" vertical="center"/>
    </xf>
    <xf numFmtId="49" fontId="31" fillId="2" borderId="25" xfId="0" applyNumberFormat="1" applyFont="1" applyFill="1" applyBorder="1" applyAlignment="1">
      <alignment horizontal="center" vertical="center"/>
    </xf>
    <xf numFmtId="0" fontId="33" fillId="2" borderId="1" xfId="0" applyFont="1" applyFill="1" applyBorder="1" applyAlignment="1" applyProtection="1">
      <alignment horizontal="center" vertical="center"/>
      <protection locked="0"/>
    </xf>
    <xf numFmtId="2" fontId="8" fillId="2" borderId="22" xfId="0" applyNumberFormat="1" applyFont="1" applyFill="1" applyBorder="1" applyAlignment="1">
      <alignment horizontal="center" vertical="center"/>
    </xf>
    <xf numFmtId="0" fontId="8" fillId="2" borderId="71" xfId="0" applyFont="1" applyFill="1" applyBorder="1" applyAlignment="1" applyProtection="1">
      <alignment horizontal="center" vertical="center"/>
      <protection locked="0"/>
    </xf>
    <xf numFmtId="166" fontId="8" fillId="2" borderId="6" xfId="19" applyNumberFormat="1" applyFont="1" applyFill="1" applyBorder="1" applyAlignment="1" applyProtection="1">
      <alignment horizontal="center" vertical="center" wrapText="1"/>
      <protection locked="0"/>
    </xf>
    <xf numFmtId="0" fontId="55" fillId="2" borderId="60" xfId="0" applyFont="1" applyFill="1" applyBorder="1" applyAlignment="1" applyProtection="1">
      <alignment horizontal="center" vertical="center" wrapText="1"/>
      <protection locked="0"/>
    </xf>
    <xf numFmtId="0" fontId="55" fillId="2" borderId="69" xfId="0" applyFont="1" applyFill="1" applyBorder="1" applyAlignment="1" applyProtection="1">
      <alignment horizontal="center" vertical="center" wrapText="1"/>
      <protection locked="0"/>
    </xf>
    <xf numFmtId="0" fontId="55" fillId="2" borderId="61" xfId="0" applyFont="1" applyFill="1" applyBorder="1" applyAlignment="1" applyProtection="1">
      <alignment horizontal="center" vertical="center" wrapText="1"/>
      <protection locked="0"/>
    </xf>
    <xf numFmtId="2" fontId="33" fillId="2" borderId="17" xfId="0" applyNumberFormat="1" applyFont="1" applyFill="1" applyBorder="1" applyAlignment="1" applyProtection="1">
      <alignment horizontal="center" vertical="center"/>
      <protection locked="0"/>
    </xf>
    <xf numFmtId="2" fontId="55" fillId="2" borderId="105" xfId="0" applyNumberFormat="1" applyFont="1" applyFill="1" applyBorder="1" applyAlignment="1" applyProtection="1">
      <alignment horizontal="center" vertical="center" wrapText="1"/>
      <protection locked="0"/>
    </xf>
    <xf numFmtId="2" fontId="55" fillId="2" borderId="106" xfId="0" applyNumberFormat="1" applyFont="1" applyFill="1" applyBorder="1" applyAlignment="1" applyProtection="1">
      <alignment horizontal="center" vertical="center" wrapText="1"/>
      <protection locked="0"/>
    </xf>
    <xf numFmtId="0" fontId="34" fillId="2" borderId="64" xfId="0" applyFont="1" applyFill="1" applyBorder="1" applyAlignment="1" applyProtection="1">
      <alignment horizontal="left"/>
      <protection locked="0"/>
    </xf>
    <xf numFmtId="0" fontId="28" fillId="2" borderId="64" xfId="0" applyFont="1" applyFill="1" applyBorder="1" applyAlignment="1" applyProtection="1">
      <alignment horizontal="left"/>
      <protection locked="0"/>
    </xf>
    <xf numFmtId="0" fontId="8" fillId="2" borderId="13" xfId="0" applyFont="1" applyFill="1" applyBorder="1" applyAlignment="1" applyProtection="1">
      <alignment horizontal="center" vertical="center"/>
      <protection locked="0"/>
    </xf>
    <xf numFmtId="0" fontId="33" fillId="2" borderId="69" xfId="0" applyFont="1" applyFill="1" applyBorder="1" applyAlignment="1">
      <alignment horizontal="center" vertical="center"/>
    </xf>
    <xf numFmtId="0" fontId="33" fillId="2" borderId="61" xfId="0" applyFont="1" applyFill="1" applyBorder="1" applyAlignment="1">
      <alignment horizontal="center" vertical="center"/>
    </xf>
    <xf numFmtId="166" fontId="8" fillId="2" borderId="25" xfId="19" applyNumberFormat="1" applyFont="1" applyFill="1" applyBorder="1" applyAlignment="1" applyProtection="1">
      <alignment horizontal="center" vertical="center"/>
      <protection locked="0"/>
    </xf>
    <xf numFmtId="0" fontId="8" fillId="2" borderId="22" xfId="0" applyFont="1" applyFill="1" applyBorder="1" applyAlignment="1">
      <alignment horizontal="center" vertical="center"/>
    </xf>
    <xf numFmtId="0" fontId="8" fillId="2" borderId="25" xfId="0" applyFont="1" applyFill="1" applyBorder="1" applyAlignment="1" applyProtection="1">
      <alignment horizontal="center" vertical="center" wrapText="1"/>
      <protection locked="0"/>
    </xf>
    <xf numFmtId="165" fontId="8" fillId="2" borderId="146" xfId="0" applyNumberFormat="1" applyFont="1" applyFill="1" applyBorder="1" applyAlignment="1" applyProtection="1">
      <alignment horizontal="center" vertical="center" wrapText="1"/>
      <protection locked="0"/>
    </xf>
    <xf numFmtId="165" fontId="55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20" xfId="0" applyFont="1" applyFill="1" applyBorder="1" applyAlignment="1" applyProtection="1">
      <alignment horizontal="center" vertical="center"/>
      <protection locked="0"/>
    </xf>
    <xf numFmtId="0" fontId="8" fillId="2" borderId="165" xfId="0" applyFont="1" applyFill="1" applyBorder="1" applyAlignment="1" applyProtection="1">
      <alignment horizontal="center" vertical="center" wrapText="1"/>
      <protection locked="0"/>
    </xf>
    <xf numFmtId="0" fontId="8" fillId="2" borderId="104" xfId="0" applyFont="1" applyFill="1" applyBorder="1" applyAlignment="1" applyProtection="1">
      <alignment horizontal="center" vertical="center" wrapText="1"/>
      <protection locked="0"/>
    </xf>
    <xf numFmtId="0" fontId="8" fillId="2" borderId="112" xfId="0" applyFont="1" applyFill="1" applyBorder="1" applyAlignment="1" applyProtection="1">
      <alignment horizontal="center" vertical="center" wrapText="1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165" fontId="8" fillId="2" borderId="49" xfId="0" applyNumberFormat="1" applyFont="1" applyFill="1" applyBorder="1" applyAlignment="1" applyProtection="1">
      <alignment horizontal="center" vertical="center"/>
      <protection locked="0"/>
    </xf>
    <xf numFmtId="1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9" xfId="0" applyFont="1" applyFill="1" applyBorder="1" applyAlignment="1">
      <alignment horizontal="center" vertical="center"/>
    </xf>
    <xf numFmtId="0" fontId="8" fillId="4" borderId="62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33" fillId="2" borderId="18" xfId="0" applyFont="1" applyFill="1" applyBorder="1" applyAlignment="1">
      <alignment horizontal="center" vertical="center"/>
    </xf>
    <xf numFmtId="0" fontId="8" fillId="2" borderId="66" xfId="0" applyFont="1" applyFill="1" applyBorder="1" applyAlignment="1" applyProtection="1">
      <alignment horizontal="center" vertical="center"/>
      <protection locked="0"/>
    </xf>
    <xf numFmtId="43" fontId="8" fillId="2" borderId="165" xfId="1" applyFont="1" applyFill="1" applyBorder="1" applyAlignment="1" applyProtection="1">
      <alignment horizontal="center" vertical="center"/>
      <protection locked="0"/>
    </xf>
    <xf numFmtId="43" fontId="8" fillId="2" borderId="104" xfId="1" applyFont="1" applyFill="1" applyBorder="1" applyAlignment="1" applyProtection="1">
      <alignment horizontal="center" vertical="center"/>
      <protection locked="0"/>
    </xf>
    <xf numFmtId="2" fontId="8" fillId="2" borderId="23" xfId="0" applyNumberFormat="1" applyFont="1" applyFill="1" applyBorder="1" applyAlignment="1" applyProtection="1">
      <alignment horizontal="center" vertical="center"/>
      <protection locked="0"/>
    </xf>
    <xf numFmtId="0" fontId="33" fillId="0" borderId="4" xfId="0" applyFont="1" applyBorder="1" applyAlignment="1">
      <alignment horizontal="center" vertical="center"/>
    </xf>
    <xf numFmtId="166" fontId="33" fillId="2" borderId="7" xfId="19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 applyProtection="1">
      <alignment horizontal="center" vertical="center"/>
      <protection locked="0"/>
    </xf>
    <xf numFmtId="166" fontId="8" fillId="2" borderId="8" xfId="19" applyNumberFormat="1" applyFont="1" applyFill="1" applyBorder="1" applyAlignment="1" applyProtection="1">
      <alignment horizontal="center" vertical="center"/>
      <protection locked="0"/>
    </xf>
    <xf numFmtId="2" fontId="55" fillId="2" borderId="11" xfId="0" applyNumberFormat="1" applyFont="1" applyFill="1" applyBorder="1" applyAlignment="1" applyProtection="1">
      <alignment horizontal="center" vertical="center" wrapText="1"/>
      <protection locked="0"/>
    </xf>
    <xf numFmtId="166" fontId="8" fillId="2" borderId="68" xfId="0" applyNumberFormat="1" applyFont="1" applyFill="1" applyBorder="1" applyAlignment="1" applyProtection="1">
      <alignment horizontal="center" vertical="center"/>
      <protection locked="0"/>
    </xf>
    <xf numFmtId="2" fontId="8" fillId="2" borderId="21" xfId="0" applyNumberFormat="1" applyFont="1" applyFill="1" applyBorder="1" applyAlignment="1">
      <alignment horizontal="center" vertical="center"/>
    </xf>
    <xf numFmtId="0" fontId="8" fillId="2" borderId="146" xfId="0" applyFont="1" applyFill="1" applyBorder="1" applyAlignment="1" applyProtection="1">
      <alignment horizontal="center" vertical="center" wrapText="1"/>
      <protection locked="0"/>
    </xf>
    <xf numFmtId="166" fontId="8" fillId="4" borderId="19" xfId="0" applyNumberFormat="1" applyFont="1" applyFill="1" applyBorder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center" vertical="center"/>
      <protection locked="0"/>
    </xf>
    <xf numFmtId="2" fontId="33" fillId="2" borderId="21" xfId="0" applyNumberFormat="1" applyFont="1" applyFill="1" applyBorder="1" applyAlignment="1">
      <alignment horizontal="center" vertical="center"/>
    </xf>
    <xf numFmtId="2" fontId="33" fillId="2" borderId="30" xfId="0" applyNumberFormat="1" applyFont="1" applyFill="1" applyBorder="1" applyAlignment="1">
      <alignment horizontal="center" vertical="center"/>
    </xf>
    <xf numFmtId="0" fontId="8" fillId="2" borderId="147" xfId="0" applyFont="1" applyFill="1" applyBorder="1" applyAlignment="1" applyProtection="1">
      <alignment horizontal="center" vertical="center"/>
      <protection locked="0"/>
    </xf>
    <xf numFmtId="2" fontId="33" fillId="0" borderId="17" xfId="0" applyNumberFormat="1" applyFont="1" applyBorder="1" applyAlignment="1">
      <alignment horizontal="center" vertical="center"/>
    </xf>
    <xf numFmtId="2" fontId="33" fillId="0" borderId="11" xfId="0" applyNumberFormat="1" applyFont="1" applyBorder="1" applyAlignment="1">
      <alignment horizontal="center" vertical="center"/>
    </xf>
    <xf numFmtId="2" fontId="55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113" xfId="0" applyFont="1" applyFill="1" applyBorder="1" applyAlignment="1" applyProtection="1">
      <alignment horizontal="center" vertical="center"/>
      <protection locked="0"/>
    </xf>
    <xf numFmtId="2" fontId="8" fillId="2" borderId="149" xfId="0" applyNumberFormat="1" applyFont="1" applyFill="1" applyBorder="1" applyAlignment="1" applyProtection="1">
      <alignment horizontal="center" vertical="center"/>
      <protection locked="0"/>
    </xf>
    <xf numFmtId="165" fontId="8" fillId="2" borderId="24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27" xfId="0" applyNumberFormat="1" applyFont="1" applyFill="1" applyBorder="1" applyAlignment="1" applyProtection="1">
      <alignment horizontal="center" vertical="center"/>
      <protection locked="0"/>
    </xf>
    <xf numFmtId="2" fontId="8" fillId="0" borderId="146" xfId="0" applyNumberFormat="1" applyFont="1" applyBorder="1" applyAlignment="1" applyProtection="1">
      <alignment horizontal="center" vertical="center" wrapText="1"/>
      <protection locked="0"/>
    </xf>
    <xf numFmtId="2" fontId="8" fillId="2" borderId="20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18" xfId="0" applyFont="1" applyFill="1" applyBorder="1" applyAlignment="1">
      <alignment horizontal="center" vertical="center"/>
    </xf>
    <xf numFmtId="0" fontId="33" fillId="2" borderId="9" xfId="0" applyFont="1" applyFill="1" applyBorder="1" applyAlignment="1" applyProtection="1">
      <alignment horizontal="center" vertical="center"/>
      <protection locked="0"/>
    </xf>
    <xf numFmtId="0" fontId="33" fillId="2" borderId="62" xfId="0" applyFont="1" applyFill="1" applyBorder="1" applyAlignment="1" applyProtection="1">
      <alignment horizontal="center" vertical="center"/>
      <protection locked="0"/>
    </xf>
    <xf numFmtId="0" fontId="33" fillId="2" borderId="69" xfId="0" applyFont="1" applyFill="1" applyBorder="1" applyAlignment="1" applyProtection="1">
      <alignment horizontal="center" vertical="center"/>
      <protection locked="0"/>
    </xf>
    <xf numFmtId="0" fontId="33" fillId="2" borderId="61" xfId="0" applyFont="1" applyFill="1" applyBorder="1" applyAlignment="1" applyProtection="1">
      <alignment horizontal="center" vertical="center"/>
      <protection locked="0"/>
    </xf>
    <xf numFmtId="0" fontId="8" fillId="2" borderId="164" xfId="0" applyFont="1" applyFill="1" applyBorder="1" applyAlignment="1" applyProtection="1">
      <alignment horizontal="center" vertical="center"/>
      <protection locked="0"/>
    </xf>
    <xf numFmtId="0" fontId="8" fillId="2" borderId="109" xfId="0" applyFont="1" applyFill="1" applyBorder="1" applyAlignment="1" applyProtection="1">
      <alignment horizontal="center" vertical="center"/>
      <protection locked="0"/>
    </xf>
    <xf numFmtId="0" fontId="33" fillId="2" borderId="11" xfId="0" applyFont="1" applyFill="1" applyBorder="1" applyAlignment="1">
      <alignment horizontal="center" vertical="center"/>
    </xf>
    <xf numFmtId="166" fontId="33" fillId="2" borderId="1" xfId="19" applyNumberFormat="1" applyFont="1" applyFill="1" applyBorder="1" applyAlignment="1">
      <alignment horizontal="center" vertical="center"/>
    </xf>
    <xf numFmtId="2" fontId="8" fillId="2" borderId="15" xfId="0" applyNumberFormat="1" applyFont="1" applyFill="1" applyBorder="1" applyAlignment="1" applyProtection="1">
      <alignment horizontal="center" vertical="center"/>
      <protection locked="0"/>
    </xf>
    <xf numFmtId="0" fontId="8" fillId="2" borderId="16" xfId="0" applyFont="1" applyFill="1" applyBorder="1" applyAlignment="1" applyProtection="1">
      <alignment horizontal="center" vertical="center" wrapText="1"/>
      <protection locked="0"/>
    </xf>
    <xf numFmtId="0" fontId="33" fillId="2" borderId="49" xfId="0" applyFont="1" applyFill="1" applyBorder="1" applyAlignment="1">
      <alignment vertical="center"/>
    </xf>
    <xf numFmtId="0" fontId="33" fillId="2" borderId="53" xfId="0" applyFont="1" applyFill="1" applyBorder="1" applyAlignment="1">
      <alignment vertical="center"/>
    </xf>
    <xf numFmtId="0" fontId="33" fillId="0" borderId="16" xfId="0" applyFont="1" applyBorder="1" applyAlignment="1">
      <alignment horizontal="center" vertical="center"/>
    </xf>
    <xf numFmtId="0" fontId="8" fillId="2" borderId="69" xfId="0" applyFont="1" applyFill="1" applyBorder="1" applyAlignment="1" applyProtection="1">
      <alignment horizontal="center" vertical="center" wrapText="1"/>
      <protection locked="0"/>
    </xf>
    <xf numFmtId="0" fontId="8" fillId="2" borderId="61" xfId="0" applyFont="1" applyFill="1" applyBorder="1" applyAlignment="1" applyProtection="1">
      <alignment horizontal="center" vertical="center" wrapText="1"/>
      <protection locked="0"/>
    </xf>
    <xf numFmtId="0" fontId="8" fillId="2" borderId="19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horizontal="center"/>
    </xf>
    <xf numFmtId="165" fontId="8" fillId="2" borderId="167" xfId="0" applyNumberFormat="1" applyFont="1" applyFill="1" applyBorder="1" applyAlignment="1" applyProtection="1">
      <alignment horizontal="center" vertical="center"/>
      <protection locked="0"/>
    </xf>
    <xf numFmtId="165" fontId="8" fillId="2" borderId="116" xfId="0" applyNumberFormat="1" applyFont="1" applyFill="1" applyBorder="1" applyAlignment="1" applyProtection="1">
      <alignment horizontal="center" vertical="center"/>
      <protection locked="0"/>
    </xf>
    <xf numFmtId="165" fontId="8" fillId="2" borderId="119" xfId="0" applyNumberFormat="1" applyFont="1" applyFill="1" applyBorder="1" applyAlignment="1" applyProtection="1">
      <alignment horizontal="center" vertical="center"/>
      <protection locked="0"/>
    </xf>
    <xf numFmtId="0" fontId="8" fillId="2" borderId="151" xfId="0" applyFont="1" applyFill="1" applyBorder="1" applyAlignment="1" applyProtection="1">
      <alignment horizontal="center" vertical="center"/>
      <protection locked="0"/>
    </xf>
    <xf numFmtId="165" fontId="8" fillId="2" borderId="91" xfId="0" applyNumberFormat="1" applyFont="1" applyFill="1" applyBorder="1" applyAlignment="1" applyProtection="1">
      <alignment horizontal="center" vertical="center"/>
      <protection locked="0"/>
    </xf>
    <xf numFmtId="2" fontId="8" fillId="0" borderId="16" xfId="0" applyNumberFormat="1" applyFont="1" applyBorder="1" applyAlignment="1" applyProtection="1">
      <alignment horizontal="center" vertical="center"/>
      <protection locked="0"/>
    </xf>
    <xf numFmtId="2" fontId="8" fillId="2" borderId="11" xfId="0" applyNumberFormat="1" applyFont="1" applyFill="1" applyBorder="1" applyAlignment="1" applyProtection="1">
      <alignment horizontal="center" vertical="center" wrapText="1"/>
      <protection locked="0"/>
    </xf>
    <xf numFmtId="2" fontId="33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55" fillId="2" borderId="9" xfId="0" applyFont="1" applyFill="1" applyBorder="1" applyAlignment="1" applyProtection="1">
      <alignment horizontal="center" vertical="center"/>
      <protection locked="0"/>
    </xf>
    <xf numFmtId="0" fontId="55" fillId="2" borderId="24" xfId="0" applyFont="1" applyFill="1" applyBorder="1" applyAlignment="1" applyProtection="1">
      <alignment horizontal="center" vertical="center"/>
      <protection locked="0"/>
    </xf>
    <xf numFmtId="2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57" xfId="0" applyNumberFormat="1" applyFont="1" applyFill="1" applyBorder="1" applyAlignment="1" applyProtection="1">
      <alignment horizontal="center" vertical="center"/>
      <protection locked="0"/>
    </xf>
    <xf numFmtId="0" fontId="33" fillId="2" borderId="24" xfId="0" applyFont="1" applyFill="1" applyBorder="1" applyAlignment="1" applyProtection="1">
      <alignment horizontal="center" vertical="center"/>
      <protection locked="0"/>
    </xf>
    <xf numFmtId="0" fontId="8" fillId="2" borderId="32" xfId="0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/>
    </xf>
    <xf numFmtId="165" fontId="8" fillId="2" borderId="7" xfId="0" applyNumberFormat="1" applyFont="1" applyFill="1" applyBorder="1" applyAlignment="1" applyProtection="1">
      <alignment horizontal="center" vertical="center"/>
      <protection locked="0"/>
    </xf>
    <xf numFmtId="2" fontId="8" fillId="2" borderId="21" xfId="0" applyNumberFormat="1" applyFont="1" applyFill="1" applyBorder="1" applyAlignment="1" applyProtection="1">
      <alignment horizontal="center" vertical="center"/>
      <protection locked="0"/>
    </xf>
    <xf numFmtId="43" fontId="8" fillId="2" borderId="110" xfId="1" applyFont="1" applyFill="1" applyBorder="1" applyAlignment="1" applyProtection="1">
      <alignment horizontal="left" vertical="center"/>
      <protection locked="0"/>
    </xf>
    <xf numFmtId="2" fontId="8" fillId="2" borderId="68" xfId="0" applyNumberFormat="1" applyFont="1" applyFill="1" applyBorder="1" applyAlignment="1" applyProtection="1">
      <alignment horizontal="center" vertical="center"/>
      <protection locked="0"/>
    </xf>
    <xf numFmtId="2" fontId="8" fillId="2" borderId="20" xfId="0" applyNumberFormat="1" applyFont="1" applyFill="1" applyBorder="1" applyAlignment="1">
      <alignment horizontal="center" vertical="center"/>
    </xf>
    <xf numFmtId="2" fontId="8" fillId="0" borderId="27" xfId="0" applyNumberFormat="1" applyFont="1" applyBorder="1" applyAlignment="1" applyProtection="1">
      <alignment horizontal="center" vertical="center"/>
      <protection locked="0"/>
    </xf>
    <xf numFmtId="165" fontId="8" fillId="2" borderId="110" xfId="0" applyNumberFormat="1" applyFont="1" applyFill="1" applyBorder="1" applyAlignment="1" applyProtection="1">
      <alignment horizontal="center" vertical="center"/>
      <protection locked="0"/>
    </xf>
    <xf numFmtId="0" fontId="31" fillId="2" borderId="5" xfId="0" applyFont="1" applyFill="1" applyBorder="1" applyAlignment="1" applyProtection="1">
      <alignment horizontal="center" vertical="center"/>
      <protection locked="0"/>
    </xf>
    <xf numFmtId="2" fontId="33" fillId="2" borderId="2" xfId="0" applyNumberFormat="1" applyFont="1" applyFill="1" applyBorder="1" applyAlignment="1">
      <alignment horizontal="center" vertical="center"/>
    </xf>
    <xf numFmtId="2" fontId="55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4" xfId="0" applyNumberFormat="1" applyFont="1" applyFill="1" applyBorder="1" applyAlignment="1">
      <alignment horizontal="center" vertical="center"/>
    </xf>
    <xf numFmtId="0" fontId="8" fillId="4" borderId="14" xfId="0" applyFont="1" applyFill="1" applyBorder="1" applyAlignment="1" applyProtection="1">
      <alignment horizontal="center" vertical="center"/>
      <protection locked="0"/>
    </xf>
    <xf numFmtId="0" fontId="8" fillId="2" borderId="16" xfId="0" applyFont="1" applyFill="1" applyBorder="1" applyAlignment="1" applyProtection="1">
      <alignment horizontal="center" vertical="center"/>
      <protection locked="0"/>
    </xf>
    <xf numFmtId="2" fontId="33" fillId="2" borderId="59" xfId="0" applyNumberFormat="1" applyFont="1" applyFill="1" applyBorder="1" applyAlignment="1" applyProtection="1">
      <alignment horizontal="center" vertical="center"/>
      <protection locked="0"/>
    </xf>
    <xf numFmtId="0" fontId="33" fillId="2" borderId="28" xfId="0" applyFont="1" applyFill="1" applyBorder="1" applyAlignment="1" applyProtection="1">
      <alignment horizontal="center" vertical="center"/>
      <protection locked="0"/>
    </xf>
    <xf numFmtId="2" fontId="33" fillId="2" borderId="11" xfId="0" applyNumberFormat="1" applyFont="1" applyFill="1" applyBorder="1" applyAlignment="1">
      <alignment horizontal="center" vertical="center"/>
    </xf>
    <xf numFmtId="166" fontId="46" fillId="2" borderId="1" xfId="10" applyNumberFormat="1" applyFont="1" applyFill="1" applyBorder="1" applyAlignment="1" applyProtection="1">
      <alignment horizontal="center" vertical="center"/>
      <protection locked="0"/>
    </xf>
    <xf numFmtId="43" fontId="8" fillId="2" borderId="99" xfId="1" applyFont="1" applyFill="1" applyBorder="1" applyAlignment="1" applyProtection="1">
      <alignment horizontal="center" vertical="center"/>
      <protection locked="0"/>
    </xf>
    <xf numFmtId="2" fontId="8" fillId="2" borderId="77" xfId="0" applyNumberFormat="1" applyFont="1" applyFill="1" applyBorder="1" applyAlignment="1" applyProtection="1">
      <alignment horizontal="center" vertical="center"/>
      <protection locked="0"/>
    </xf>
    <xf numFmtId="165" fontId="8" fillId="2" borderId="61" xfId="19" applyNumberFormat="1" applyFont="1" applyFill="1" applyBorder="1" applyAlignment="1" applyProtection="1">
      <alignment horizontal="center" vertical="center"/>
      <protection locked="0"/>
    </xf>
    <xf numFmtId="0" fontId="8" fillId="2" borderId="9" xfId="0" applyFont="1" applyFill="1" applyBorder="1" applyAlignment="1">
      <alignment horizontal="center" vertical="center"/>
    </xf>
    <xf numFmtId="0" fontId="8" fillId="2" borderId="62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165" fontId="8" fillId="2" borderId="59" xfId="19" applyNumberFormat="1" applyFont="1" applyFill="1" applyBorder="1" applyAlignment="1" applyProtection="1">
      <alignment horizontal="center" vertical="center"/>
      <protection locked="0"/>
    </xf>
    <xf numFmtId="0" fontId="8" fillId="2" borderId="120" xfId="0" applyFont="1" applyFill="1" applyBorder="1" applyAlignment="1" applyProtection="1">
      <alignment horizontal="center" vertical="center"/>
      <protection locked="0"/>
    </xf>
    <xf numFmtId="0" fontId="8" fillId="2" borderId="154" xfId="0" applyFont="1" applyFill="1" applyBorder="1" applyAlignment="1" applyProtection="1">
      <alignment horizontal="center" vertical="center"/>
      <protection locked="0"/>
    </xf>
    <xf numFmtId="0" fontId="29" fillId="2" borderId="151" xfId="0" applyFont="1" applyFill="1" applyBorder="1" applyAlignment="1" applyProtection="1">
      <alignment horizontal="center" vertical="center"/>
      <protection locked="0"/>
    </xf>
    <xf numFmtId="2" fontId="8" fillId="2" borderId="152" xfId="0" applyNumberFormat="1" applyFont="1" applyFill="1" applyBorder="1" applyAlignment="1" applyProtection="1">
      <alignment horizontal="center" vertical="center"/>
      <protection locked="0"/>
    </xf>
    <xf numFmtId="0" fontId="8" fillId="2" borderId="124" xfId="0" applyFont="1" applyFill="1" applyBorder="1" applyAlignment="1" applyProtection="1">
      <alignment horizontal="center" vertical="center" wrapText="1"/>
      <protection locked="0"/>
    </xf>
    <xf numFmtId="1" fontId="8" fillId="2" borderId="10" xfId="0" applyNumberFormat="1" applyFont="1" applyFill="1" applyBorder="1" applyAlignment="1" applyProtection="1">
      <alignment horizontal="center" vertical="center"/>
      <protection locked="0"/>
    </xf>
    <xf numFmtId="0" fontId="55" fillId="2" borderId="24" xfId="0" applyFont="1" applyFill="1" applyBorder="1" applyAlignment="1" applyProtection="1">
      <alignment horizontal="center" vertical="center" wrapText="1"/>
      <protection locked="0"/>
    </xf>
    <xf numFmtId="1" fontId="33" fillId="2" borderId="4" xfId="0" applyNumberFormat="1" applyFont="1" applyFill="1" applyBorder="1" applyAlignment="1">
      <alignment horizontal="center" vertical="center"/>
    </xf>
    <xf numFmtId="2" fontId="8" fillId="0" borderId="11" xfId="0" applyNumberFormat="1" applyFont="1" applyBorder="1" applyAlignment="1" applyProtection="1">
      <alignment horizontal="center" vertical="center" wrapText="1"/>
      <protection locked="0"/>
    </xf>
    <xf numFmtId="2" fontId="8" fillId="0" borderId="40" xfId="0" applyNumberFormat="1" applyFont="1" applyBorder="1" applyAlignment="1" applyProtection="1">
      <alignment horizontal="center" vertical="center"/>
      <protection locked="0"/>
    </xf>
    <xf numFmtId="2" fontId="8" fillId="2" borderId="20" xfId="0" applyNumberFormat="1" applyFont="1" applyFill="1" applyBorder="1" applyAlignment="1" applyProtection="1">
      <alignment horizontal="center" vertical="center"/>
      <protection locked="0"/>
    </xf>
    <xf numFmtId="0" fontId="31" fillId="2" borderId="14" xfId="0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>
      <alignment horizontal="center" vertical="center"/>
    </xf>
    <xf numFmtId="0" fontId="8" fillId="2" borderId="76" xfId="0" applyFont="1" applyFill="1" applyBorder="1" applyAlignment="1">
      <alignment horizontal="center" vertical="center"/>
    </xf>
    <xf numFmtId="165" fontId="8" fillId="2" borderId="60" xfId="0" applyNumberFormat="1" applyFont="1" applyFill="1" applyBorder="1" applyAlignment="1" applyProtection="1">
      <alignment horizontal="center" vertical="center"/>
      <protection locked="0"/>
    </xf>
    <xf numFmtId="0" fontId="46" fillId="2" borderId="6" xfId="10" applyFont="1" applyFill="1" applyBorder="1" applyAlignment="1" applyProtection="1">
      <alignment horizontal="center" vertical="center"/>
      <protection locked="0"/>
    </xf>
    <xf numFmtId="0" fontId="46" fillId="2" borderId="7" xfId="10" applyFont="1" applyFill="1" applyBorder="1" applyAlignment="1" applyProtection="1">
      <alignment horizontal="center" vertical="center"/>
      <protection locked="0"/>
    </xf>
    <xf numFmtId="0" fontId="46" fillId="2" borderId="36" xfId="10" applyFont="1" applyFill="1" applyBorder="1" applyAlignment="1" applyProtection="1">
      <alignment horizontal="center" vertical="center"/>
      <protection locked="0"/>
    </xf>
    <xf numFmtId="0" fontId="31" fillId="2" borderId="24" xfId="0" applyFont="1" applyFill="1" applyBorder="1" applyAlignment="1" applyProtection="1">
      <alignment horizontal="center" vertical="center"/>
      <protection locked="0"/>
    </xf>
    <xf numFmtId="166" fontId="8" fillId="4" borderId="31" xfId="0" applyNumberFormat="1" applyFont="1" applyFill="1" applyBorder="1" applyAlignment="1" applyProtection="1">
      <alignment horizontal="center" vertical="center"/>
      <protection locked="0"/>
    </xf>
    <xf numFmtId="2" fontId="8" fillId="2" borderId="126" xfId="0" applyNumberFormat="1" applyFont="1" applyFill="1" applyBorder="1" applyAlignment="1" applyProtection="1">
      <alignment horizontal="center" vertical="center"/>
      <protection locked="0"/>
    </xf>
    <xf numFmtId="2" fontId="33" fillId="0" borderId="4" xfId="0" applyNumberFormat="1" applyFont="1" applyBorder="1" applyAlignment="1" applyProtection="1">
      <alignment horizontal="center" vertical="center"/>
      <protection locked="0"/>
    </xf>
    <xf numFmtId="0" fontId="33" fillId="2" borderId="18" xfId="0" applyFont="1" applyFill="1" applyBorder="1" applyAlignment="1" applyProtection="1">
      <alignment horizontal="center" vertical="center"/>
      <protection locked="0"/>
    </xf>
    <xf numFmtId="0" fontId="31" fillId="2" borderId="4" xfId="0" applyFont="1" applyFill="1" applyBorder="1" applyAlignment="1" applyProtection="1">
      <alignment horizontal="center" vertical="center"/>
      <protection locked="0"/>
    </xf>
    <xf numFmtId="0" fontId="8" fillId="2" borderId="23" xfId="0" applyFont="1" applyFill="1" applyBorder="1" applyAlignment="1">
      <alignment horizontal="center" vertical="center"/>
    </xf>
    <xf numFmtId="0" fontId="8" fillId="0" borderId="26" xfId="0" applyFont="1" applyBorder="1" applyAlignment="1" applyProtection="1">
      <alignment horizontal="center" vertical="center"/>
      <protection locked="0"/>
    </xf>
    <xf numFmtId="2" fontId="33" fillId="0" borderId="5" xfId="0" applyNumberFormat="1" applyFont="1" applyBorder="1" applyAlignment="1" applyProtection="1">
      <alignment horizontal="center" vertical="center"/>
      <protection locked="0"/>
    </xf>
    <xf numFmtId="2" fontId="8" fillId="0" borderId="132" xfId="0" applyNumberFormat="1" applyFont="1" applyBorder="1" applyAlignment="1" applyProtection="1">
      <alignment horizontal="center" vertical="center" wrapText="1"/>
      <protection locked="0"/>
    </xf>
    <xf numFmtId="0" fontId="33" fillId="2" borderId="19" xfId="0" applyFont="1" applyFill="1" applyBorder="1" applyAlignment="1" applyProtection="1">
      <alignment horizontal="center" vertical="center"/>
      <protection locked="0"/>
    </xf>
    <xf numFmtId="165" fontId="8" fillId="2" borderId="31" xfId="19" applyNumberFormat="1" applyFont="1" applyFill="1" applyBorder="1" applyAlignment="1" applyProtection="1">
      <alignment horizontal="center" vertical="center"/>
      <protection locked="0"/>
    </xf>
    <xf numFmtId="0" fontId="33" fillId="2" borderId="26" xfId="0" applyFont="1" applyFill="1" applyBorder="1" applyAlignment="1">
      <alignment horizontal="center" vertical="center"/>
    </xf>
    <xf numFmtId="2" fontId="33" fillId="2" borderId="55" xfId="0" applyNumberFormat="1" applyFont="1" applyFill="1" applyBorder="1" applyAlignment="1" applyProtection="1">
      <alignment horizontal="center" vertical="center"/>
      <protection locked="0"/>
    </xf>
    <xf numFmtId="2" fontId="8" fillId="2" borderId="4" xfId="0" applyNumberFormat="1" applyFont="1" applyFill="1" applyBorder="1" applyAlignment="1">
      <alignment horizontal="center" vertical="center"/>
    </xf>
    <xf numFmtId="2" fontId="31" fillId="2" borderId="14" xfId="0" applyNumberFormat="1" applyFont="1" applyFill="1" applyBorder="1" applyAlignment="1" applyProtection="1">
      <alignment horizontal="center" vertical="center"/>
      <protection locked="0"/>
    </xf>
    <xf numFmtId="0" fontId="33" fillId="2" borderId="2" xfId="0" applyFont="1" applyFill="1" applyBorder="1" applyAlignment="1">
      <alignment horizontal="center" vertical="center"/>
    </xf>
    <xf numFmtId="0" fontId="33" fillId="2" borderId="30" xfId="0" applyFont="1" applyFill="1" applyBorder="1" applyAlignment="1">
      <alignment horizontal="center" vertical="center"/>
    </xf>
    <xf numFmtId="0" fontId="8" fillId="2" borderId="163" xfId="0" applyFont="1" applyFill="1" applyBorder="1" applyAlignment="1" applyProtection="1">
      <alignment horizontal="center" vertical="center" wrapText="1"/>
      <protection locked="0"/>
    </xf>
    <xf numFmtId="0" fontId="33" fillId="2" borderId="68" xfId="0" applyFont="1" applyFill="1" applyBorder="1" applyAlignment="1" applyProtection="1">
      <alignment horizontal="center" vertical="center"/>
      <protection locked="0"/>
    </xf>
    <xf numFmtId="0" fontId="33" fillId="2" borderId="63" xfId="0" applyFont="1" applyFill="1" applyBorder="1" applyAlignment="1" applyProtection="1">
      <alignment horizontal="center" vertical="center"/>
      <protection locked="0"/>
    </xf>
    <xf numFmtId="0" fontId="33" fillId="2" borderId="65" xfId="0" applyFont="1" applyFill="1" applyBorder="1" applyAlignment="1" applyProtection="1">
      <alignment horizontal="center" vertical="center"/>
      <protection locked="0"/>
    </xf>
    <xf numFmtId="2" fontId="33" fillId="2" borderId="19" xfId="0" applyNumberFormat="1" applyFont="1" applyFill="1" applyBorder="1" applyAlignment="1" applyProtection="1">
      <alignment horizontal="center" vertical="center"/>
      <protection locked="0"/>
    </xf>
    <xf numFmtId="165" fontId="8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33" fillId="2" borderId="20" xfId="0" applyFont="1" applyFill="1" applyBorder="1" applyAlignment="1">
      <alignment horizontal="center" vertical="center"/>
    </xf>
    <xf numFmtId="0" fontId="33" fillId="2" borderId="20" xfId="0" applyFont="1" applyFill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2" fontId="33" fillId="2" borderId="2" xfId="0" applyNumberFormat="1" applyFont="1" applyFill="1" applyBorder="1" applyAlignment="1" applyProtection="1">
      <alignment horizontal="center" vertical="center"/>
      <protection locked="0"/>
    </xf>
    <xf numFmtId="164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3" fillId="2" borderId="13" xfId="0" applyFont="1" applyFill="1" applyBorder="1" applyAlignment="1" applyProtection="1">
      <alignment horizontal="center" vertical="center"/>
      <protection locked="0"/>
    </xf>
    <xf numFmtId="0" fontId="33" fillId="2" borderId="25" xfId="0" applyFont="1" applyFill="1" applyBorder="1" applyAlignment="1">
      <alignment horizontal="center" vertical="center"/>
    </xf>
    <xf numFmtId="0" fontId="33" fillId="2" borderId="68" xfId="0" applyFont="1" applyFill="1" applyBorder="1" applyAlignment="1">
      <alignment horizontal="center" vertical="center"/>
    </xf>
    <xf numFmtId="0" fontId="33" fillId="2" borderId="63" xfId="0" applyFont="1" applyFill="1" applyBorder="1" applyAlignment="1">
      <alignment horizontal="center" vertical="center"/>
    </xf>
    <xf numFmtId="0" fontId="33" fillId="2" borderId="65" xfId="0" applyFont="1" applyFill="1" applyBorder="1" applyAlignment="1">
      <alignment horizontal="center" vertical="center"/>
    </xf>
    <xf numFmtId="0" fontId="8" fillId="0" borderId="5" xfId="0" applyFont="1" applyBorder="1" applyAlignment="1" applyProtection="1">
      <alignment horizontal="center" vertical="center"/>
      <protection locked="0"/>
    </xf>
    <xf numFmtId="0" fontId="60" fillId="2" borderId="0" xfId="0" applyFont="1" applyFill="1" applyAlignment="1">
      <alignment horizontal="center" wrapText="1"/>
    </xf>
    <xf numFmtId="0" fontId="10" fillId="2" borderId="64" xfId="0" applyFont="1" applyFill="1" applyBorder="1" applyAlignment="1" applyProtection="1">
      <alignment horizontal="left" vertical="center"/>
      <protection locked="0"/>
    </xf>
    <xf numFmtId="2" fontId="31" fillId="2" borderId="72" xfId="0" applyNumberFormat="1" applyFont="1" applyFill="1" applyBorder="1" applyAlignment="1">
      <alignment horizontal="center" vertical="center"/>
    </xf>
    <xf numFmtId="0" fontId="33" fillId="2" borderId="23" xfId="0" applyFont="1" applyFill="1" applyBorder="1" applyAlignment="1">
      <alignment horizontal="center" vertical="center"/>
    </xf>
    <xf numFmtId="165" fontId="8" fillId="2" borderId="65" xfId="0" applyNumberFormat="1" applyFont="1" applyFill="1" applyBorder="1" applyAlignment="1" applyProtection="1">
      <alignment horizontal="center" vertical="center"/>
      <protection locked="0"/>
    </xf>
    <xf numFmtId="2" fontId="8" fillId="2" borderId="12" xfId="0" applyNumberFormat="1" applyFont="1" applyFill="1" applyBorder="1" applyAlignment="1">
      <alignment horizontal="center" vertical="center"/>
    </xf>
    <xf numFmtId="2" fontId="8" fillId="2" borderId="18" xfId="0" applyNumberFormat="1" applyFont="1" applyFill="1" applyBorder="1" applyAlignment="1">
      <alignment horizontal="center" vertical="center"/>
    </xf>
    <xf numFmtId="2" fontId="8" fillId="0" borderId="17" xfId="0" applyNumberFormat="1" applyFont="1" applyBorder="1" applyAlignment="1" applyProtection="1">
      <alignment horizontal="center" vertical="center"/>
      <protection locked="0"/>
    </xf>
    <xf numFmtId="0" fontId="33" fillId="0" borderId="5" xfId="0" applyFont="1" applyBorder="1" applyAlignment="1">
      <alignment horizontal="center" vertical="center"/>
    </xf>
    <xf numFmtId="165" fontId="8" fillId="2" borderId="19" xfId="0" applyNumberFormat="1" applyFont="1" applyFill="1" applyBorder="1" applyAlignment="1" applyProtection="1">
      <alignment horizontal="center" vertical="center"/>
      <protection locked="0"/>
    </xf>
    <xf numFmtId="0" fontId="8" fillId="2" borderId="18" xfId="0" applyFont="1" applyFill="1" applyBorder="1" applyAlignment="1" applyProtection="1">
      <alignment horizontal="center" vertical="center" wrapText="1"/>
      <protection locked="0"/>
    </xf>
    <xf numFmtId="165" fontId="8" fillId="2" borderId="68" xfId="0" applyNumberFormat="1" applyFont="1" applyFill="1" applyBorder="1" applyAlignment="1" applyProtection="1">
      <alignment horizontal="center" vertical="center"/>
      <protection locked="0"/>
    </xf>
    <xf numFmtId="2" fontId="33" fillId="0" borderId="23" xfId="0" applyNumberFormat="1" applyFont="1" applyBorder="1" applyAlignment="1">
      <alignment horizontal="center" vertical="center"/>
    </xf>
    <xf numFmtId="0" fontId="55" fillId="2" borderId="19" xfId="0" applyFont="1" applyFill="1" applyBorder="1" applyAlignment="1" applyProtection="1">
      <alignment horizontal="center" vertical="center" wrapText="1"/>
      <protection locked="0"/>
    </xf>
    <xf numFmtId="165" fontId="8" fillId="2" borderId="62" xfId="0" applyNumberFormat="1" applyFont="1" applyFill="1" applyBorder="1" applyAlignment="1" applyProtection="1">
      <alignment horizontal="center" vertical="center"/>
      <protection locked="0"/>
    </xf>
    <xf numFmtId="0" fontId="8" fillId="2" borderId="79" xfId="0" applyFont="1" applyFill="1" applyBorder="1" applyAlignment="1" applyProtection="1">
      <alignment horizontal="center" vertical="center"/>
      <protection locked="0"/>
    </xf>
    <xf numFmtId="2" fontId="8" fillId="2" borderId="44" xfId="0" applyNumberFormat="1" applyFont="1" applyFill="1" applyBorder="1" applyAlignment="1" applyProtection="1">
      <alignment horizontal="center" vertical="center"/>
      <protection locked="0"/>
    </xf>
    <xf numFmtId="2" fontId="8" fillId="2" borderId="131" xfId="0" applyNumberFormat="1" applyFont="1" applyFill="1" applyBorder="1" applyAlignment="1" applyProtection="1">
      <alignment horizontal="center" vertical="center"/>
      <protection locked="0"/>
    </xf>
    <xf numFmtId="0" fontId="8" fillId="2" borderId="165" xfId="0" applyFont="1" applyFill="1" applyBorder="1" applyAlignment="1" applyProtection="1">
      <alignment horizontal="center" vertical="center"/>
      <protection locked="0"/>
    </xf>
    <xf numFmtId="0" fontId="8" fillId="2" borderId="104" xfId="0" applyFont="1" applyFill="1" applyBorder="1" applyAlignment="1" applyProtection="1">
      <alignment horizontal="center" vertical="center"/>
      <protection locked="0"/>
    </xf>
    <xf numFmtId="0" fontId="8" fillId="2" borderId="112" xfId="0" applyFont="1" applyFill="1" applyBorder="1" applyAlignment="1" applyProtection="1">
      <alignment horizontal="center" vertical="center"/>
      <protection locked="0"/>
    </xf>
    <xf numFmtId="165" fontId="8" fillId="2" borderId="165" xfId="0" applyNumberFormat="1" applyFont="1" applyFill="1" applyBorder="1" applyAlignment="1" applyProtection="1">
      <alignment horizontal="center" vertical="center"/>
      <protection locked="0"/>
    </xf>
    <xf numFmtId="165" fontId="8" fillId="2" borderId="104" xfId="0" applyNumberFormat="1" applyFont="1" applyFill="1" applyBorder="1" applyAlignment="1" applyProtection="1">
      <alignment horizontal="center" vertical="center"/>
      <protection locked="0"/>
    </xf>
    <xf numFmtId="165" fontId="8" fillId="2" borderId="112" xfId="0" applyNumberFormat="1" applyFont="1" applyFill="1" applyBorder="1" applyAlignment="1" applyProtection="1">
      <alignment horizontal="center" vertical="center"/>
      <protection locked="0"/>
    </xf>
    <xf numFmtId="2" fontId="85" fillId="2" borderId="4" xfId="0" applyNumberFormat="1" applyFont="1" applyFill="1" applyBorder="1" applyAlignment="1" applyProtection="1">
      <alignment horizontal="center" vertical="center"/>
      <protection locked="0"/>
    </xf>
    <xf numFmtId="2" fontId="85" fillId="2" borderId="5" xfId="0" applyNumberFormat="1" applyFont="1" applyFill="1" applyBorder="1" applyAlignment="1" applyProtection="1">
      <alignment horizontal="center" vertical="center"/>
      <protection locked="0"/>
    </xf>
    <xf numFmtId="0" fontId="85" fillId="2" borderId="31" xfId="0" applyFont="1" applyFill="1" applyBorder="1" applyAlignment="1" applyProtection="1">
      <alignment horizontal="center" vertical="center" wrapText="1"/>
      <protection locked="0"/>
    </xf>
    <xf numFmtId="0" fontId="88" fillId="2" borderId="2" xfId="0" applyFont="1" applyFill="1" applyBorder="1" applyAlignment="1" applyProtection="1">
      <alignment horizontal="center" vertical="center"/>
      <protection locked="0"/>
    </xf>
    <xf numFmtId="2" fontId="88" fillId="2" borderId="1" xfId="0" applyNumberFormat="1" applyFont="1" applyFill="1" applyBorder="1" applyAlignment="1" applyProtection="1">
      <alignment horizontal="center" vertical="center"/>
      <protection locked="0"/>
    </xf>
    <xf numFmtId="0" fontId="85" fillId="2" borderId="4" xfId="0" applyFont="1" applyFill="1" applyBorder="1" applyAlignment="1" applyProtection="1">
      <alignment horizontal="center" vertical="center"/>
      <protection locked="0"/>
    </xf>
    <xf numFmtId="2" fontId="88" fillId="2" borderId="16" xfId="0" applyNumberFormat="1" applyFont="1" applyFill="1" applyBorder="1" applyAlignment="1" applyProtection="1">
      <alignment horizontal="center" vertical="center"/>
      <protection locked="0"/>
    </xf>
    <xf numFmtId="0" fontId="88" fillId="2" borderId="15" xfId="0" applyFont="1" applyFill="1" applyBorder="1" applyAlignment="1" applyProtection="1">
      <alignment horizontal="center" vertical="center"/>
      <protection locked="0"/>
    </xf>
    <xf numFmtId="165" fontId="85" fillId="2" borderId="1" xfId="0" applyNumberFormat="1" applyFont="1" applyFill="1" applyBorder="1" applyAlignment="1" applyProtection="1">
      <alignment horizontal="center" vertical="center"/>
      <protection locked="0"/>
    </xf>
    <xf numFmtId="0" fontId="86" fillId="2" borderId="1" xfId="0" applyFont="1" applyFill="1" applyBorder="1" applyAlignment="1" applyProtection="1">
      <alignment horizontal="center" vertical="center"/>
      <protection locked="0"/>
    </xf>
    <xf numFmtId="0" fontId="85" fillId="2" borderId="1" xfId="0" applyFont="1" applyFill="1" applyBorder="1" applyAlignment="1" applyProtection="1">
      <alignment horizontal="center" vertical="center"/>
      <protection locked="0"/>
    </xf>
    <xf numFmtId="0" fontId="85" fillId="2" borderId="14" xfId="0" applyFont="1" applyFill="1" applyBorder="1" applyAlignment="1" applyProtection="1">
      <alignment horizontal="center" vertical="center"/>
      <protection locked="0"/>
    </xf>
    <xf numFmtId="2" fontId="88" fillId="2" borderId="5" xfId="0" applyNumberFormat="1" applyFont="1" applyFill="1" applyBorder="1" applyAlignment="1" applyProtection="1">
      <alignment horizontal="center" vertical="center"/>
      <protection locked="0"/>
    </xf>
    <xf numFmtId="0" fontId="88" fillId="2" borderId="1" xfId="0" applyFont="1" applyFill="1" applyBorder="1" applyAlignment="1" applyProtection="1">
      <alignment horizontal="center" vertical="center"/>
      <protection locked="0"/>
    </xf>
    <xf numFmtId="0" fontId="86" fillId="2" borderId="31" xfId="0" applyFont="1" applyFill="1" applyBorder="1" applyAlignment="1" applyProtection="1">
      <alignment horizontal="center" vertical="center"/>
      <protection locked="0"/>
    </xf>
    <xf numFmtId="2" fontId="85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85" fillId="2" borderId="27" xfId="0" applyNumberFormat="1" applyFont="1" applyFill="1" applyBorder="1" applyAlignment="1" applyProtection="1">
      <alignment horizontal="center" vertical="center"/>
      <protection locked="0"/>
    </xf>
    <xf numFmtId="37" fontId="85" fillId="2" borderId="9" xfId="19" applyNumberFormat="1" applyFont="1" applyFill="1" applyBorder="1" applyAlignment="1" applyProtection="1">
      <alignment horizontal="center" vertical="center"/>
      <protection locked="0"/>
    </xf>
    <xf numFmtId="4" fontId="85" fillId="2" borderId="9" xfId="0" applyNumberFormat="1" applyFont="1" applyFill="1" applyBorder="1" applyAlignment="1" applyProtection="1">
      <alignment horizontal="center" vertical="center"/>
      <protection locked="0"/>
    </xf>
    <xf numFmtId="2" fontId="85" fillId="2" borderId="16" xfId="0" applyNumberFormat="1" applyFont="1" applyFill="1" applyBorder="1" applyAlignment="1" applyProtection="1">
      <alignment horizontal="center" vertical="center"/>
      <protection locked="0"/>
    </xf>
    <xf numFmtId="0" fontId="85" fillId="2" borderId="10" xfId="0" applyFont="1" applyFill="1" applyBorder="1" applyAlignment="1" applyProtection="1">
      <alignment horizontal="center" vertical="center"/>
      <protection locked="0"/>
    </xf>
    <xf numFmtId="2" fontId="85" fillId="2" borderId="12" xfId="0" applyNumberFormat="1" applyFont="1" applyFill="1" applyBorder="1" applyAlignment="1" applyProtection="1">
      <alignment horizontal="center" vertical="center"/>
      <protection locked="0"/>
    </xf>
    <xf numFmtId="0" fontId="85" fillId="2" borderId="14" xfId="0" applyFont="1" applyFill="1" applyBorder="1" applyAlignment="1" applyProtection="1">
      <alignment horizontal="center" vertical="center" wrapText="1"/>
      <protection locked="0"/>
    </xf>
    <xf numFmtId="2" fontId="85" fillId="2" borderId="26" xfId="0" applyNumberFormat="1" applyFont="1" applyFill="1" applyBorder="1" applyAlignment="1" applyProtection="1">
      <alignment horizontal="center" vertical="center"/>
      <protection locked="0"/>
    </xf>
    <xf numFmtId="2" fontId="85" fillId="2" borderId="4" xfId="0" applyNumberFormat="1" applyFont="1" applyFill="1" applyBorder="1" applyAlignment="1" applyProtection="1">
      <alignment horizontal="center" vertical="center" wrapText="1"/>
      <protection locked="0"/>
    </xf>
    <xf numFmtId="2" fontId="85" fillId="2" borderId="77" xfId="0" applyNumberFormat="1" applyFont="1" applyFill="1" applyBorder="1" applyAlignment="1" applyProtection="1">
      <alignment horizontal="center" vertical="center"/>
      <protection locked="0"/>
    </xf>
    <xf numFmtId="0" fontId="85" fillId="2" borderId="59" xfId="0" applyFont="1" applyFill="1" applyBorder="1" applyAlignment="1" applyProtection="1">
      <alignment horizontal="center" vertical="center"/>
      <protection locked="0"/>
    </xf>
    <xf numFmtId="0" fontId="86" fillId="2" borderId="60" xfId="0" applyFont="1" applyFill="1" applyBorder="1" applyAlignment="1" applyProtection="1">
      <alignment horizontal="center" vertical="center"/>
      <protection locked="0"/>
    </xf>
    <xf numFmtId="0" fontId="8" fillId="2" borderId="99" xfId="0" applyFont="1" applyFill="1" applyBorder="1" applyAlignment="1">
      <alignment horizontal="center" vertical="center"/>
    </xf>
    <xf numFmtId="0" fontId="85" fillId="2" borderId="31" xfId="0" applyFont="1" applyFill="1" applyBorder="1" applyAlignment="1" applyProtection="1">
      <alignment horizontal="center" vertical="center"/>
      <protection locked="0"/>
    </xf>
    <xf numFmtId="0" fontId="85" fillId="2" borderId="59" xfId="0" applyFont="1" applyFill="1" applyBorder="1" applyAlignment="1" applyProtection="1">
      <alignment horizontal="center" vertical="center" wrapText="1"/>
      <protection locked="0"/>
    </xf>
    <xf numFmtId="0" fontId="85" fillId="2" borderId="1" xfId="0" applyFont="1" applyFill="1" applyBorder="1" applyAlignment="1" applyProtection="1">
      <alignment horizontal="center" vertical="center" wrapText="1"/>
      <protection locked="0"/>
    </xf>
    <xf numFmtId="2" fontId="85" fillId="2" borderId="11" xfId="0" applyNumberFormat="1" applyFont="1" applyFill="1" applyBorder="1" applyAlignment="1" applyProtection="1">
      <alignment horizontal="center" vertical="center"/>
      <protection locked="0"/>
    </xf>
    <xf numFmtId="0" fontId="85" fillId="2" borderId="9" xfId="0" applyFont="1" applyFill="1" applyBorder="1" applyAlignment="1" applyProtection="1">
      <alignment horizontal="center" vertical="center" wrapText="1"/>
      <protection locked="0"/>
    </xf>
    <xf numFmtId="0" fontId="85" fillId="2" borderId="15" xfId="0" applyFont="1" applyFill="1" applyBorder="1" applyAlignment="1" applyProtection="1">
      <alignment horizontal="center" vertical="center"/>
      <protection locked="0"/>
    </xf>
    <xf numFmtId="2" fontId="83" fillId="2" borderId="4" xfId="0" applyNumberFormat="1" applyFont="1" applyFill="1" applyBorder="1" applyAlignment="1" applyProtection="1">
      <alignment horizontal="center" vertical="center"/>
      <protection locked="0"/>
    </xf>
    <xf numFmtId="0" fontId="8" fillId="2" borderId="87" xfId="0" applyFont="1" applyFill="1" applyBorder="1" applyAlignment="1">
      <alignment horizontal="center" vertical="center"/>
    </xf>
    <xf numFmtId="0" fontId="8" fillId="2" borderId="100" xfId="0" applyFont="1" applyFill="1" applyBorder="1" applyAlignment="1">
      <alignment horizontal="center" vertical="center"/>
    </xf>
    <xf numFmtId="0" fontId="85" fillId="2" borderId="110" xfId="0" applyFont="1" applyFill="1" applyBorder="1" applyAlignment="1" applyProtection="1">
      <alignment horizontal="center" vertical="center"/>
      <protection locked="0"/>
    </xf>
    <xf numFmtId="0" fontId="85" fillId="2" borderId="67" xfId="0" applyFont="1" applyFill="1" applyBorder="1" applyAlignment="1" applyProtection="1">
      <alignment horizontal="center" vertical="center" wrapText="1"/>
      <protection locked="0"/>
    </xf>
    <xf numFmtId="0" fontId="8" fillId="2" borderId="101" xfId="0" applyFont="1" applyFill="1" applyBorder="1" applyAlignment="1">
      <alignment horizontal="center" vertical="center"/>
    </xf>
    <xf numFmtId="165" fontId="85" fillId="2" borderId="161" xfId="0" applyNumberFormat="1" applyFont="1" applyFill="1" applyBorder="1" applyAlignment="1" applyProtection="1">
      <alignment horizontal="center" vertical="center"/>
      <protection locked="0"/>
    </xf>
    <xf numFmtId="0" fontId="8" fillId="2" borderId="158" xfId="0" applyFont="1" applyFill="1" applyBorder="1" applyAlignment="1">
      <alignment horizontal="center" vertical="center"/>
    </xf>
    <xf numFmtId="0" fontId="8" fillId="2" borderId="152" xfId="0" applyFont="1" applyFill="1" applyBorder="1" applyAlignment="1">
      <alignment horizontal="center" vertical="center"/>
    </xf>
    <xf numFmtId="0" fontId="85" fillId="2" borderId="156" xfId="0" applyFont="1" applyFill="1" applyBorder="1" applyAlignment="1" applyProtection="1">
      <alignment horizontal="center" vertical="center" wrapText="1"/>
      <protection locked="0"/>
    </xf>
    <xf numFmtId="0" fontId="86" fillId="2" borderId="9" xfId="0" applyFont="1" applyFill="1" applyBorder="1" applyAlignment="1" applyProtection="1">
      <alignment horizontal="center" vertical="center"/>
      <protection locked="0"/>
    </xf>
    <xf numFmtId="2" fontId="85" fillId="2" borderId="17" xfId="0" applyNumberFormat="1" applyFont="1" applyFill="1" applyBorder="1" applyAlignment="1" applyProtection="1">
      <alignment horizontal="center" vertical="center"/>
      <protection locked="0"/>
    </xf>
    <xf numFmtId="2" fontId="88" fillId="2" borderId="4" xfId="0" applyNumberFormat="1" applyFont="1" applyFill="1" applyBorder="1" applyAlignment="1" applyProtection="1">
      <alignment horizontal="center" vertical="center"/>
      <protection locked="0"/>
    </xf>
    <xf numFmtId="0" fontId="88" fillId="2" borderId="14" xfId="0" applyFont="1" applyFill="1" applyBorder="1" applyAlignment="1" applyProtection="1">
      <alignment horizontal="center" vertical="center"/>
      <protection locked="0"/>
    </xf>
    <xf numFmtId="4" fontId="85" fillId="2" borderId="1" xfId="0" applyNumberFormat="1" applyFont="1" applyFill="1" applyBorder="1" applyAlignment="1" applyProtection="1">
      <alignment horizontal="center" vertical="center"/>
      <protection locked="0"/>
    </xf>
    <xf numFmtId="0" fontId="85" fillId="2" borderId="3" xfId="0" applyFont="1" applyFill="1" applyBorder="1" applyAlignment="1" applyProtection="1">
      <alignment horizontal="center" vertical="center" wrapText="1"/>
      <protection locked="0"/>
    </xf>
    <xf numFmtId="0" fontId="85" fillId="4" borderId="1" xfId="0" applyFont="1" applyFill="1" applyBorder="1" applyAlignment="1">
      <alignment horizontal="center" vertical="center"/>
    </xf>
    <xf numFmtId="0" fontId="92" fillId="2" borderId="64" xfId="0" applyFont="1" applyFill="1" applyBorder="1" applyAlignment="1" applyProtection="1">
      <alignment horizontal="left"/>
      <protection locked="0"/>
    </xf>
    <xf numFmtId="2" fontId="85" fillId="2" borderId="2" xfId="0" applyNumberFormat="1" applyFont="1" applyFill="1" applyBorder="1" applyAlignment="1" applyProtection="1">
      <alignment horizontal="center" vertical="center"/>
      <protection locked="0"/>
    </xf>
    <xf numFmtId="0" fontId="88" fillId="4" borderId="2" xfId="0" applyFont="1" applyFill="1" applyBorder="1" applyAlignment="1">
      <alignment horizontal="center" vertical="center"/>
    </xf>
    <xf numFmtId="0" fontId="83" fillId="2" borderId="2" xfId="0" applyFont="1" applyFill="1" applyBorder="1" applyAlignment="1" applyProtection="1">
      <alignment horizontal="center" vertical="center"/>
      <protection locked="0"/>
    </xf>
    <xf numFmtId="43" fontId="85" fillId="2" borderId="1" xfId="1" applyFont="1" applyFill="1" applyBorder="1" applyAlignment="1" applyProtection="1">
      <alignment horizontal="center" vertical="center"/>
      <protection locked="0"/>
    </xf>
    <xf numFmtId="0" fontId="85" fillId="2" borderId="25" xfId="0" applyFont="1" applyFill="1" applyBorder="1" applyAlignment="1" applyProtection="1">
      <alignment horizontal="center" vertical="center"/>
      <protection locked="0"/>
    </xf>
    <xf numFmtId="0" fontId="85" fillId="2" borderId="6" xfId="0" applyFont="1" applyFill="1" applyBorder="1" applyAlignment="1" applyProtection="1">
      <alignment horizontal="center" vertical="center"/>
      <protection locked="0"/>
    </xf>
    <xf numFmtId="0" fontId="85" fillId="4" borderId="32" xfId="0" applyFont="1" applyFill="1" applyBorder="1" applyAlignment="1">
      <alignment horizontal="center" vertical="center"/>
    </xf>
    <xf numFmtId="0" fontId="84" fillId="2" borderId="64" xfId="0" applyFont="1" applyFill="1" applyBorder="1" applyAlignment="1" applyProtection="1">
      <alignment horizontal="left"/>
      <protection locked="0"/>
    </xf>
    <xf numFmtId="0" fontId="85" fillId="2" borderId="6" xfId="0" applyFont="1" applyFill="1" applyBorder="1" applyAlignment="1">
      <alignment horizontal="center" vertical="center"/>
    </xf>
    <xf numFmtId="0" fontId="83" fillId="2" borderId="31" xfId="0" applyFont="1" applyFill="1" applyBorder="1" applyAlignment="1" applyProtection="1">
      <alignment horizontal="center" vertical="center"/>
      <protection locked="0"/>
    </xf>
    <xf numFmtId="0" fontId="85" fillId="2" borderId="159" xfId="0" applyFont="1" applyFill="1" applyBorder="1" applyAlignment="1" applyProtection="1">
      <alignment horizontal="center" vertical="center"/>
      <protection locked="0"/>
    </xf>
    <xf numFmtId="2" fontId="88" fillId="2" borderId="17" xfId="0" applyNumberFormat="1" applyFont="1" applyFill="1" applyBorder="1" applyAlignment="1" applyProtection="1">
      <alignment horizontal="center" vertical="center"/>
      <protection locked="0"/>
    </xf>
    <xf numFmtId="0" fontId="85" fillId="2" borderId="59" xfId="0" applyFont="1" applyFill="1" applyBorder="1" applyAlignment="1">
      <alignment horizontal="center" vertical="center"/>
    </xf>
    <xf numFmtId="0" fontId="83" fillId="2" borderId="0" xfId="0" applyFont="1" applyFill="1" applyAlignment="1" applyProtection="1">
      <alignment vertical="center"/>
      <protection locked="0"/>
    </xf>
    <xf numFmtId="0" fontId="85" fillId="2" borderId="3" xfId="0" applyFont="1" applyFill="1" applyBorder="1" applyAlignment="1" applyProtection="1">
      <alignment horizontal="center" vertical="center"/>
      <protection locked="0"/>
    </xf>
    <xf numFmtId="165" fontId="85" fillId="2" borderId="107" xfId="0" applyNumberFormat="1" applyFont="1" applyFill="1" applyBorder="1" applyAlignment="1" applyProtection="1">
      <alignment horizontal="center" vertical="center"/>
      <protection locked="0"/>
    </xf>
    <xf numFmtId="0" fontId="85" fillId="2" borderId="62" xfId="0" applyFont="1" applyFill="1" applyBorder="1" applyAlignment="1" applyProtection="1">
      <alignment horizontal="center" vertical="center"/>
      <protection locked="0"/>
    </xf>
    <xf numFmtId="0" fontId="8" fillId="2" borderId="157" xfId="0" applyFont="1" applyFill="1" applyBorder="1" applyAlignment="1">
      <alignment horizontal="center" vertical="center"/>
    </xf>
    <xf numFmtId="0" fontId="83" fillId="2" borderId="110" xfId="0" applyFont="1" applyFill="1" applyBorder="1" applyAlignment="1" applyProtection="1">
      <alignment horizontal="center" vertical="center" wrapText="1"/>
      <protection locked="0"/>
    </xf>
    <xf numFmtId="43" fontId="85" fillId="2" borderId="67" xfId="1" applyFont="1" applyFill="1" applyBorder="1" applyAlignment="1" applyProtection="1">
      <alignment horizontal="center" vertical="center"/>
      <protection locked="0"/>
    </xf>
    <xf numFmtId="2" fontId="88" fillId="2" borderId="76" xfId="0" applyNumberFormat="1" applyFont="1" applyFill="1" applyBorder="1" applyAlignment="1" applyProtection="1">
      <alignment horizontal="center" vertical="center"/>
      <protection locked="0"/>
    </xf>
    <xf numFmtId="0" fontId="88" fillId="2" borderId="16" xfId="0" applyFont="1" applyFill="1" applyBorder="1" applyAlignment="1" applyProtection="1">
      <alignment horizontal="center" vertical="center"/>
      <protection locked="0"/>
    </xf>
    <xf numFmtId="166" fontId="85" fillId="2" borderId="1" xfId="0" applyNumberFormat="1" applyFont="1" applyFill="1" applyBorder="1" applyAlignment="1" applyProtection="1">
      <alignment horizontal="center" vertical="center"/>
      <protection locked="0"/>
    </xf>
    <xf numFmtId="37" fontId="85" fillId="2" borderId="1" xfId="19" applyNumberFormat="1" applyFont="1" applyFill="1" applyBorder="1" applyAlignment="1" applyProtection="1">
      <alignment horizontal="center" vertical="center"/>
      <protection locked="0"/>
    </xf>
    <xf numFmtId="0" fontId="85" fillId="4" borderId="24" xfId="0" applyFont="1" applyFill="1" applyBorder="1" applyAlignment="1">
      <alignment horizontal="center" vertical="center"/>
    </xf>
    <xf numFmtId="0" fontId="85" fillId="2" borderId="9" xfId="0" applyFont="1" applyFill="1" applyBorder="1" applyAlignment="1" applyProtection="1">
      <alignment horizontal="center" vertical="center"/>
      <protection locked="0"/>
    </xf>
    <xf numFmtId="0" fontId="85" fillId="2" borderId="48" xfId="0" applyFont="1" applyFill="1" applyBorder="1" applyAlignment="1" applyProtection="1">
      <alignment horizontal="center" vertical="center"/>
      <protection locked="0"/>
    </xf>
    <xf numFmtId="2" fontId="85" fillId="2" borderId="76" xfId="0" applyNumberFormat="1" applyFont="1" applyFill="1" applyBorder="1" applyAlignment="1" applyProtection="1">
      <alignment horizontal="center" vertical="center"/>
      <protection locked="0"/>
    </xf>
    <xf numFmtId="0" fontId="70" fillId="2" borderId="0" xfId="0" quotePrefix="1" applyFont="1" applyFill="1" applyAlignment="1">
      <alignment horizontal="left" wrapText="1"/>
    </xf>
    <xf numFmtId="49" fontId="31" fillId="2" borderId="37" xfId="0" applyNumberFormat="1" applyFont="1" applyFill="1" applyBorder="1" applyAlignment="1">
      <alignment horizontal="center" vertical="center"/>
    </xf>
    <xf numFmtId="49" fontId="31" fillId="2" borderId="12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0" fontId="31" fillId="2" borderId="9" xfId="0" applyFont="1" applyFill="1" applyBorder="1" applyAlignment="1">
      <alignment horizontal="center" vertical="center"/>
    </xf>
    <xf numFmtId="49" fontId="31" fillId="2" borderId="52" xfId="0" applyNumberFormat="1" applyFont="1" applyFill="1" applyBorder="1" applyAlignment="1">
      <alignment horizontal="center" vertical="center"/>
    </xf>
    <xf numFmtId="49" fontId="31" fillId="2" borderId="27" xfId="0" applyNumberFormat="1" applyFont="1" applyFill="1" applyBorder="1" applyAlignment="1">
      <alignment horizontal="center" vertical="center"/>
    </xf>
    <xf numFmtId="0" fontId="31" fillId="2" borderId="151" xfId="0" applyFont="1" applyFill="1" applyBorder="1" applyAlignment="1">
      <alignment horizontal="center" vertical="center"/>
    </xf>
    <xf numFmtId="0" fontId="31" fillId="2" borderId="62" xfId="0" applyFont="1" applyFill="1" applyBorder="1" applyAlignment="1">
      <alignment horizontal="center" vertical="center"/>
    </xf>
    <xf numFmtId="0" fontId="14" fillId="2" borderId="0" xfId="0" applyFont="1" applyFill="1" applyAlignment="1"/>
    <xf numFmtId="0" fontId="0" fillId="0" borderId="59" xfId="0" applyBorder="1" applyAlignment="1" applyProtection="1">
      <protection locked="0"/>
    </xf>
    <xf numFmtId="0" fontId="0" fillId="0" borderId="2" xfId="0" applyBorder="1" applyAlignment="1" applyProtection="1">
      <protection locked="0"/>
    </xf>
    <xf numFmtId="0" fontId="0" fillId="0" borderId="69" xfId="0" applyBorder="1" applyAlignment="1" applyProtection="1">
      <protection locked="0"/>
    </xf>
    <xf numFmtId="0" fontId="0" fillId="0" borderId="29" xfId="0" applyBorder="1" applyAlignment="1"/>
    <xf numFmtId="0" fontId="0" fillId="0" borderId="61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64" xfId="0" applyBorder="1" applyAlignment="1" applyProtection="1">
      <protection locked="0"/>
    </xf>
    <xf numFmtId="0" fontId="0" fillId="0" borderId="150" xfId="0" applyBorder="1" applyAlignment="1" applyProtection="1">
      <protection locked="0"/>
    </xf>
    <xf numFmtId="0" fontId="0" fillId="0" borderId="130" xfId="0" applyBorder="1" applyAlignment="1" applyProtection="1">
      <protection locked="0"/>
    </xf>
    <xf numFmtId="0" fontId="0" fillId="0" borderId="143" xfId="0" applyBorder="1" applyAlignment="1" applyProtection="1">
      <protection locked="0"/>
    </xf>
    <xf numFmtId="0" fontId="0" fillId="0" borderId="109" xfId="0" applyBorder="1" applyAlignment="1" applyProtection="1">
      <protection locked="0"/>
    </xf>
    <xf numFmtId="0" fontId="0" fillId="0" borderId="44" xfId="0" applyBorder="1" applyAlignment="1" applyProtection="1">
      <protection locked="0"/>
    </xf>
    <xf numFmtId="0" fontId="0" fillId="0" borderId="45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0" fillId="0" borderId="46" xfId="0" applyBorder="1" applyAlignment="1" applyProtection="1">
      <protection locked="0"/>
    </xf>
    <xf numFmtId="0" fontId="0" fillId="0" borderId="25" xfId="0" applyBorder="1" applyAlignment="1" applyProtection="1">
      <protection locked="0"/>
    </xf>
    <xf numFmtId="0" fontId="0" fillId="0" borderId="28" xfId="0" applyBorder="1" applyAlignment="1" applyProtection="1">
      <protection locked="0"/>
    </xf>
    <xf numFmtId="0" fontId="0" fillId="0" borderId="26" xfId="0" applyBorder="1" applyAlignment="1" applyProtection="1">
      <protection locked="0"/>
    </xf>
    <xf numFmtId="0" fontId="0" fillId="0" borderId="57" xfId="0" applyBorder="1" applyAlignment="1" applyProtection="1">
      <protection locked="0"/>
    </xf>
    <xf numFmtId="0" fontId="0" fillId="0" borderId="27" xfId="0" applyBorder="1" applyAlignment="1" applyProtection="1">
      <protection locked="0"/>
    </xf>
    <xf numFmtId="0" fontId="0" fillId="0" borderId="80" xfId="0" applyBorder="1" applyAlignment="1" applyProtection="1">
      <protection locked="0"/>
    </xf>
    <xf numFmtId="0" fontId="0" fillId="0" borderId="81" xfId="0" applyBorder="1" applyAlignment="1" applyProtection="1">
      <protection locked="0"/>
    </xf>
    <xf numFmtId="0" fontId="0" fillId="0" borderId="62" xfId="0" applyBorder="1" applyAlignment="1" applyProtection="1">
      <protection locked="0"/>
    </xf>
    <xf numFmtId="0" fontId="0" fillId="0" borderId="84" xfId="0" applyBorder="1" applyAlignment="1" applyProtection="1">
      <protection locked="0"/>
    </xf>
    <xf numFmtId="0" fontId="0" fillId="0" borderId="85" xfId="0" applyBorder="1" applyAlignment="1" applyProtection="1">
      <protection locked="0"/>
    </xf>
    <xf numFmtId="0" fontId="0" fillId="0" borderId="24" xfId="0" applyBorder="1" applyAlignment="1" applyProtection="1">
      <protection locked="0"/>
    </xf>
    <xf numFmtId="0" fontId="0" fillId="0" borderId="72" xfId="0" applyBorder="1" applyAlignment="1" applyProtection="1">
      <protection locked="0"/>
    </xf>
    <xf numFmtId="0" fontId="0" fillId="0" borderId="86" xfId="0" applyBorder="1" applyAlignment="1" applyProtection="1">
      <protection locked="0"/>
    </xf>
    <xf numFmtId="0" fontId="0" fillId="0" borderId="87" xfId="0" applyBorder="1" applyAlignment="1" applyProtection="1">
      <protection locked="0"/>
    </xf>
    <xf numFmtId="0" fontId="0" fillId="0" borderId="88" xfId="0" applyBorder="1" applyAlignment="1" applyProtection="1">
      <protection locked="0"/>
    </xf>
    <xf numFmtId="0" fontId="0" fillId="0" borderId="30" xfId="0" applyBorder="1" applyAlignment="1" applyProtection="1">
      <protection locked="0"/>
    </xf>
    <xf numFmtId="0" fontId="0" fillId="0" borderId="52" xfId="0" applyBorder="1" applyAlignment="1" applyProtection="1">
      <protection locked="0"/>
    </xf>
    <xf numFmtId="0" fontId="0" fillId="0" borderId="94" xfId="0" applyBorder="1" applyAlignment="1" applyProtection="1">
      <protection locked="0"/>
    </xf>
    <xf numFmtId="0" fontId="0" fillId="0" borderId="121" xfId="0" applyBorder="1" applyAlignment="1" applyProtection="1">
      <protection locked="0"/>
    </xf>
    <xf numFmtId="0" fontId="0" fillId="0" borderId="123" xfId="0" applyBorder="1" applyAlignment="1" applyProtection="1">
      <protection locked="0"/>
    </xf>
    <xf numFmtId="0" fontId="0" fillId="0" borderId="122" xfId="0" applyBorder="1" applyAlignment="1" applyProtection="1">
      <protection locked="0"/>
    </xf>
    <xf numFmtId="0" fontId="0" fillId="0" borderId="44" xfId="0" applyBorder="1" applyAlignment="1"/>
    <xf numFmtId="0" fontId="0" fillId="0" borderId="25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67" xfId="0" applyBorder="1" applyAlignment="1" applyProtection="1">
      <protection locked="0"/>
    </xf>
    <xf numFmtId="0" fontId="0" fillId="0" borderId="68" xfId="0" applyBorder="1" applyAlignment="1" applyProtection="1">
      <protection locked="0"/>
    </xf>
    <xf numFmtId="0" fontId="0" fillId="0" borderId="29" xfId="0" applyBorder="1" applyAlignment="1" applyProtection="1">
      <protection locked="0"/>
    </xf>
    <xf numFmtId="0" fontId="0" fillId="0" borderId="13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0" fillId="0" borderId="69" xfId="0" applyBorder="1" applyAlignment="1"/>
    <xf numFmtId="0" fontId="0" fillId="0" borderId="45" xfId="0" applyBorder="1" applyAlignment="1"/>
    <xf numFmtId="0" fontId="0" fillId="0" borderId="70" xfId="0" applyBorder="1" applyAlignment="1"/>
    <xf numFmtId="0" fontId="0" fillId="0" borderId="28" xfId="0" applyBorder="1" applyAlignment="1"/>
    <xf numFmtId="0" fontId="0" fillId="0" borderId="30" xfId="0" applyBorder="1" applyAlignment="1"/>
    <xf numFmtId="0" fontId="0" fillId="0" borderId="59" xfId="0" applyBorder="1" applyAlignment="1"/>
    <xf numFmtId="0" fontId="0" fillId="0" borderId="2" xfId="0" applyBorder="1" applyAlignment="1"/>
    <xf numFmtId="0" fontId="0" fillId="0" borderId="55" xfId="0" applyBorder="1" applyAlignment="1"/>
    <xf numFmtId="0" fontId="0" fillId="0" borderId="57" xfId="0" applyBorder="1" applyAlignment="1"/>
    <xf numFmtId="0" fontId="0" fillId="0" borderId="62" xfId="0" applyBorder="1" applyAlignment="1"/>
    <xf numFmtId="0" fontId="0" fillId="0" borderId="13" xfId="0" applyBorder="1" applyAlignment="1"/>
    <xf numFmtId="0" fontId="0" fillId="0" borderId="24" xfId="0" applyBorder="1" applyAlignment="1"/>
    <xf numFmtId="0" fontId="0" fillId="0" borderId="61" xfId="0" applyBorder="1" applyAlignment="1"/>
    <xf numFmtId="0" fontId="0" fillId="0" borderId="63" xfId="0" applyBorder="1" applyAlignment="1"/>
    <xf numFmtId="0" fontId="0" fillId="0" borderId="65" xfId="0" applyBorder="1" applyAlignment="1"/>
    <xf numFmtId="0" fontId="0" fillId="0" borderId="3" xfId="0" applyBorder="1" applyAlignment="1" applyProtection="1">
      <protection locked="0"/>
    </xf>
    <xf numFmtId="0" fontId="0" fillId="0" borderId="74" xfId="0" applyBorder="1" applyAlignment="1" applyProtection="1">
      <protection locked="0"/>
    </xf>
    <xf numFmtId="0" fontId="0" fillId="0" borderId="65" xfId="0" applyBorder="1" applyAlignment="1" applyProtection="1">
      <protection locked="0"/>
    </xf>
    <xf numFmtId="0" fontId="0" fillId="0" borderId="63" xfId="0" applyBorder="1" applyAlignment="1" applyProtection="1">
      <protection locked="0"/>
    </xf>
    <xf numFmtId="0" fontId="0" fillId="0" borderId="104" xfId="0" applyBorder="1" applyAlignment="1" applyProtection="1">
      <protection locked="0"/>
    </xf>
    <xf numFmtId="0" fontId="0" fillId="0" borderId="112" xfId="0" applyBorder="1" applyAlignment="1" applyProtection="1">
      <protection locked="0"/>
    </xf>
    <xf numFmtId="0" fontId="0" fillId="0" borderId="72" xfId="0" applyBorder="1" applyAlignment="1"/>
    <xf numFmtId="0" fontId="0" fillId="0" borderId="148" xfId="0" applyBorder="1" applyAlignment="1" applyProtection="1">
      <protection locked="0"/>
    </xf>
    <xf numFmtId="0" fontId="0" fillId="0" borderId="136" xfId="0" applyBorder="1" applyAlignment="1" applyProtection="1">
      <protection locked="0"/>
    </xf>
    <xf numFmtId="0" fontId="0" fillId="0" borderId="56" xfId="0" applyBorder="1" applyAlignment="1" applyProtection="1">
      <protection locked="0"/>
    </xf>
    <xf numFmtId="0" fontId="0" fillId="0" borderId="104" xfId="0" applyBorder="1" applyAlignment="1"/>
    <xf numFmtId="0" fontId="0" fillId="0" borderId="112" xfId="0" applyBorder="1" applyAlignment="1"/>
    <xf numFmtId="0" fontId="0" fillId="0" borderId="54" xfId="0" applyBorder="1" applyAlignment="1"/>
    <xf numFmtId="0" fontId="0" fillId="0" borderId="52" xfId="0" applyBorder="1" applyAlignment="1"/>
    <xf numFmtId="0" fontId="0" fillId="0" borderId="98" xfId="0" applyBorder="1" applyAlignment="1" applyProtection="1">
      <protection locked="0"/>
    </xf>
    <xf numFmtId="0" fontId="0" fillId="0" borderId="99" xfId="0" applyBorder="1" applyAlignment="1"/>
    <xf numFmtId="0" fontId="0" fillId="0" borderId="100" xfId="0" applyBorder="1" applyAlignment="1"/>
    <xf numFmtId="0" fontId="0" fillId="0" borderId="87" xfId="0" applyBorder="1" applyAlignment="1"/>
    <xf numFmtId="0" fontId="0" fillId="0" borderId="101" xfId="0" applyBorder="1" applyAlignment="1"/>
    <xf numFmtId="0" fontId="0" fillId="0" borderId="116" xfId="0" applyBorder="1" applyAlignment="1" applyProtection="1">
      <protection locked="0"/>
    </xf>
    <xf numFmtId="0" fontId="0" fillId="0" borderId="102" xfId="0" applyBorder="1" applyAlignment="1" applyProtection="1">
      <protection locked="0"/>
    </xf>
    <xf numFmtId="0" fontId="0" fillId="0" borderId="160" xfId="0" applyBorder="1" applyAlignment="1" applyProtection="1">
      <protection locked="0"/>
    </xf>
    <xf numFmtId="0" fontId="0" fillId="0" borderId="103" xfId="0" applyBorder="1" applyAlignment="1" applyProtection="1">
      <protection locked="0"/>
    </xf>
    <xf numFmtId="0" fontId="0" fillId="0" borderId="108" xfId="0" applyBorder="1" applyAlignment="1" applyProtection="1">
      <protection locked="0"/>
    </xf>
    <xf numFmtId="0" fontId="0" fillId="0" borderId="64" xfId="0" applyBorder="1" applyAlignment="1"/>
    <xf numFmtId="0" fontId="0" fillId="2" borderId="0" xfId="0" applyFill="1" applyAlignment="1"/>
  </cellXfs>
  <cellStyles count="20">
    <cellStyle name="Cálculo" xfId="11" builtinId="22"/>
    <cellStyle name="Comma 2" xfId="12" xr:uid="{00000000-0005-0000-0000-00000C000000}"/>
    <cellStyle name="Millares" xfId="1" builtinId="3"/>
    <cellStyle name="Moneda" xfId="19" builtinId="4"/>
    <cellStyle name="Normal" xfId="0" builtinId="0"/>
    <cellStyle name="Normal 10" xfId="2" xr:uid="{00000000-0005-0000-0000-000002000000}"/>
    <cellStyle name="Normal 2" xfId="13" xr:uid="{00000000-0005-0000-0000-00000D000000}"/>
    <cellStyle name="Normal 2 2" xfId="3" xr:uid="{00000000-0005-0000-0000-000003000000}"/>
    <cellStyle name="Normal 2 2 2" xfId="4" xr:uid="{00000000-0005-0000-0000-000004000000}"/>
    <cellStyle name="Normal 2 2 3" xfId="18" xr:uid="{00000000-0005-0000-0000-000012000000}"/>
    <cellStyle name="Normal 2 3" xfId="5" xr:uid="{00000000-0005-0000-0000-000005000000}"/>
    <cellStyle name="Normal 2 4" xfId="14" xr:uid="{00000000-0005-0000-0000-00000E000000}"/>
    <cellStyle name="Normal 3" xfId="6" xr:uid="{00000000-0005-0000-0000-000006000000}"/>
    <cellStyle name="Normal 4" xfId="7" xr:uid="{00000000-0005-0000-0000-000007000000}"/>
    <cellStyle name="Normal 6 3" xfId="17" xr:uid="{00000000-0005-0000-0000-000011000000}"/>
    <cellStyle name="Normal 8" xfId="8" xr:uid="{00000000-0005-0000-0000-000008000000}"/>
    <cellStyle name="Normal 9" xfId="9" xr:uid="{00000000-0005-0000-0000-000009000000}"/>
    <cellStyle name="Normal_Sheet1" xfId="10" xr:uid="{00000000-0005-0000-0000-00000A000000}"/>
    <cellStyle name="常规 4" xfId="15" xr:uid="{00000000-0005-0000-0000-00000F000000}"/>
    <cellStyle name="常规 5" xfId="16" xr:uid="{00000000-0005-0000-0000-00001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28222</xdr:colOff>
      <xdr:row>0</xdr:row>
      <xdr:rowOff>0</xdr:rowOff>
    </xdr:from>
    <xdr:to>
      <xdr:col>2</xdr:col>
      <xdr:colOff>1636889</xdr:colOff>
      <xdr:row>3</xdr:row>
      <xdr:rowOff>287558</xdr:rowOff>
    </xdr:to>
    <xdr:pic>
      <xdr:nvPicPr>
        <xdr:cNvPr id="2" name="Imagen 1" descr="Roca Logo - PNG y Vecto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8666" y="0"/>
          <a:ext cx="1608667" cy="1017526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28222</xdr:colOff>
      <xdr:row>0</xdr:row>
      <xdr:rowOff>0</xdr:rowOff>
    </xdr:from>
    <xdr:to>
      <xdr:col>2</xdr:col>
      <xdr:colOff>1636889</xdr:colOff>
      <xdr:row>3</xdr:row>
      <xdr:rowOff>287558</xdr:rowOff>
    </xdr:to>
    <xdr:pic>
      <xdr:nvPicPr>
        <xdr:cNvPr id="3" name="Imagen 2" descr="Roca Logo - PNG y Vecto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022" y="0"/>
          <a:ext cx="1608667" cy="103304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28222</xdr:colOff>
      <xdr:row>0</xdr:row>
      <xdr:rowOff>0</xdr:rowOff>
    </xdr:from>
    <xdr:to>
      <xdr:col>2</xdr:col>
      <xdr:colOff>1636889</xdr:colOff>
      <xdr:row>3</xdr:row>
      <xdr:rowOff>287558</xdr:rowOff>
    </xdr:to>
    <xdr:pic>
      <xdr:nvPicPr>
        <xdr:cNvPr id="4" name="Imagen 3" descr="Roca Logo - PNG y Vecto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022" y="0"/>
          <a:ext cx="1608667" cy="103304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28222</xdr:colOff>
      <xdr:row>0</xdr:row>
      <xdr:rowOff>0</xdr:rowOff>
    </xdr:from>
    <xdr:to>
      <xdr:col>2</xdr:col>
      <xdr:colOff>1636889</xdr:colOff>
      <xdr:row>3</xdr:row>
      <xdr:rowOff>287558</xdr:rowOff>
    </xdr:to>
    <xdr:pic>
      <xdr:nvPicPr>
        <xdr:cNvPr id="5" name="Imagen 4" descr="Roca Logo - PNG y Vector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022" y="0"/>
          <a:ext cx="1608667" cy="103304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28222</xdr:colOff>
      <xdr:row>0</xdr:row>
      <xdr:rowOff>0</xdr:rowOff>
    </xdr:from>
    <xdr:to>
      <xdr:col>2</xdr:col>
      <xdr:colOff>1636889</xdr:colOff>
      <xdr:row>3</xdr:row>
      <xdr:rowOff>287558</xdr:rowOff>
    </xdr:to>
    <xdr:pic>
      <xdr:nvPicPr>
        <xdr:cNvPr id="6" name="Imagen 5" descr="Roca Logo - PNG y Vector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022" y="0"/>
          <a:ext cx="1608667" cy="103304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28222</xdr:colOff>
      <xdr:row>0</xdr:row>
      <xdr:rowOff>0</xdr:rowOff>
    </xdr:from>
    <xdr:to>
      <xdr:col>2</xdr:col>
      <xdr:colOff>1636889</xdr:colOff>
      <xdr:row>3</xdr:row>
      <xdr:rowOff>287558</xdr:rowOff>
    </xdr:to>
    <xdr:pic>
      <xdr:nvPicPr>
        <xdr:cNvPr id="7" name="Imagen 6" descr="Roca Logo - PNG y Vector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3022" y="0"/>
          <a:ext cx="1608667" cy="103304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4880429</xdr:colOff>
      <xdr:row>0</xdr:row>
      <xdr:rowOff>18143</xdr:rowOff>
    </xdr:from>
    <xdr:to>
      <xdr:col>5</xdr:col>
      <xdr:colOff>6717696</xdr:colOff>
      <xdr:row>6</xdr:row>
      <xdr:rowOff>13761</xdr:rowOff>
    </xdr:to>
    <xdr:pic>
      <xdr:nvPicPr>
        <xdr:cNvPr id="2" name="Imagen 2" descr="Roca Logo - PNG y Vecto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018329" y="18143"/>
          <a:ext cx="1837267" cy="120211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3:K278"/>
  <sheetViews>
    <sheetView zoomScale="65" zoomScaleNormal="65" zoomScaleSheetLayoutView="75" workbookViewId="0">
      <selection activeCell="B4" sqref="B4"/>
    </sheetView>
  </sheetViews>
  <sheetFormatPr defaultColWidth="9.42578125" defaultRowHeight="15.95"/>
  <cols>
    <col min="1" max="1" width="9.42578125" style="4" customWidth="1"/>
    <col min="2" max="2" width="11.42578125" style="4" bestFit="1" customWidth="1"/>
    <col min="3" max="3" width="31.5703125" style="4" bestFit="1" customWidth="1"/>
    <col min="4" max="4" width="10.42578125" style="4" bestFit="1" customWidth="1"/>
    <col min="5" max="5" width="13.5703125" style="11" customWidth="1"/>
    <col min="6" max="6" width="35.42578125" style="4" bestFit="1" customWidth="1"/>
    <col min="7" max="7" width="11.5703125" style="4" bestFit="1" customWidth="1"/>
    <col min="8" max="8" width="11.42578125" style="4" bestFit="1" customWidth="1"/>
    <col min="9" max="9" width="23" style="4" customWidth="1"/>
    <col min="10" max="10" width="11.5703125" style="14" bestFit="1" customWidth="1"/>
    <col min="11" max="11" width="9.42578125" style="4" customWidth="1"/>
    <col min="12" max="16384" width="9.42578125" style="4"/>
  </cols>
  <sheetData>
    <row r="3" spans="2:11" ht="26.45" customHeight="1">
      <c r="B3" s="1103" t="s">
        <v>0</v>
      </c>
      <c r="C3" s="1674"/>
      <c r="D3" s="1674"/>
      <c r="E3" s="1104"/>
      <c r="F3" s="1674"/>
      <c r="G3" s="1674"/>
      <c r="H3" s="1674"/>
      <c r="I3" s="1674"/>
      <c r="J3" s="1105"/>
      <c r="K3" s="1674"/>
    </row>
    <row r="4" spans="2:11" ht="26.45" customHeight="1">
      <c r="B4" s="2"/>
      <c r="C4" s="3"/>
      <c r="D4" s="3"/>
      <c r="E4" s="5"/>
      <c r="F4" s="3"/>
      <c r="G4" s="3"/>
      <c r="H4" s="3"/>
      <c r="I4" s="3"/>
      <c r="J4" s="3"/>
      <c r="K4" s="3"/>
    </row>
    <row r="6" spans="2:11" ht="21.6" customHeight="1">
      <c r="C6" s="6" t="s">
        <v>1</v>
      </c>
      <c r="D6" s="16">
        <v>1</v>
      </c>
      <c r="E6" s="8"/>
      <c r="F6" s="9" t="s">
        <v>2</v>
      </c>
      <c r="G6" s="16">
        <v>14</v>
      </c>
      <c r="I6" s="9" t="s">
        <v>3</v>
      </c>
      <c r="J6" s="16">
        <v>23</v>
      </c>
    </row>
    <row r="7" spans="2:11" ht="21.6" customHeight="1">
      <c r="B7" s="10"/>
      <c r="C7" s="6" t="s">
        <v>4</v>
      </c>
      <c r="D7" s="16">
        <v>1</v>
      </c>
      <c r="E7" s="8"/>
      <c r="F7" s="9" t="s">
        <v>5</v>
      </c>
      <c r="G7" s="16">
        <v>14</v>
      </c>
      <c r="H7" s="10"/>
      <c r="I7" s="9" t="s">
        <v>6</v>
      </c>
      <c r="J7" s="16">
        <v>23</v>
      </c>
      <c r="K7" s="9"/>
    </row>
    <row r="8" spans="2:11" ht="21.6" customHeight="1">
      <c r="B8" s="10"/>
      <c r="C8" s="6" t="s">
        <v>7</v>
      </c>
      <c r="D8" s="16">
        <v>1</v>
      </c>
      <c r="E8" s="8"/>
      <c r="F8" s="9" t="s">
        <v>8</v>
      </c>
      <c r="G8" s="16">
        <v>15</v>
      </c>
      <c r="I8" s="9" t="s">
        <v>9</v>
      </c>
      <c r="J8" s="16">
        <v>23</v>
      </c>
      <c r="K8" s="9"/>
    </row>
    <row r="9" spans="2:11" ht="21.6" customHeight="1">
      <c r="B9" s="6"/>
      <c r="C9" s="6" t="s">
        <v>10</v>
      </c>
      <c r="D9" s="16">
        <v>1</v>
      </c>
      <c r="E9" s="8"/>
      <c r="F9" s="9" t="s">
        <v>11</v>
      </c>
      <c r="G9" s="16">
        <v>15</v>
      </c>
      <c r="H9" s="10"/>
      <c r="I9" s="6" t="s">
        <v>12</v>
      </c>
      <c r="J9" s="16">
        <v>24</v>
      </c>
      <c r="K9" s="9"/>
    </row>
    <row r="10" spans="2:11" ht="21.6" customHeight="1">
      <c r="B10" s="6"/>
      <c r="C10" s="6" t="s">
        <v>13</v>
      </c>
      <c r="D10" s="16">
        <v>1</v>
      </c>
      <c r="E10" s="8"/>
      <c r="F10" s="9" t="s">
        <v>14</v>
      </c>
      <c r="G10" s="16">
        <v>15</v>
      </c>
      <c r="H10" s="10"/>
      <c r="I10" s="6" t="s">
        <v>15</v>
      </c>
      <c r="J10" s="16">
        <v>25</v>
      </c>
      <c r="K10" s="9"/>
    </row>
    <row r="11" spans="2:11" ht="21.6" customHeight="1">
      <c r="B11" s="6"/>
      <c r="C11" s="6" t="s">
        <v>16</v>
      </c>
      <c r="D11" s="16">
        <v>1</v>
      </c>
      <c r="F11" s="9" t="s">
        <v>17</v>
      </c>
      <c r="G11" s="16">
        <v>15</v>
      </c>
      <c r="H11" s="10"/>
      <c r="I11" s="9" t="s">
        <v>18</v>
      </c>
      <c r="J11" s="16">
        <v>25</v>
      </c>
      <c r="K11" s="9"/>
    </row>
    <row r="12" spans="2:11" ht="21.6" customHeight="1">
      <c r="B12" s="6"/>
      <c r="C12" s="6" t="s">
        <v>19</v>
      </c>
      <c r="D12" s="16">
        <v>2</v>
      </c>
      <c r="F12" s="9" t="s">
        <v>20</v>
      </c>
      <c r="G12" s="16">
        <v>16</v>
      </c>
      <c r="I12" s="9" t="s">
        <v>21</v>
      </c>
      <c r="J12" s="16">
        <v>26</v>
      </c>
      <c r="K12" s="9"/>
    </row>
    <row r="13" spans="2:11" ht="21.6" customHeight="1">
      <c r="B13" s="6"/>
      <c r="C13" s="6" t="s">
        <v>22</v>
      </c>
      <c r="D13" s="16">
        <v>2</v>
      </c>
      <c r="F13" s="9" t="s">
        <v>23</v>
      </c>
      <c r="G13" s="16">
        <v>17</v>
      </c>
      <c r="H13" s="10"/>
      <c r="I13" s="9" t="s">
        <v>24</v>
      </c>
      <c r="J13" s="16">
        <v>26</v>
      </c>
      <c r="K13" s="9"/>
    </row>
    <row r="14" spans="2:11" ht="21.6" customHeight="1">
      <c r="B14" s="6"/>
      <c r="C14" s="6" t="s">
        <v>25</v>
      </c>
      <c r="D14" s="16">
        <v>2</v>
      </c>
      <c r="F14" s="9" t="s">
        <v>26</v>
      </c>
      <c r="G14" s="16">
        <v>17</v>
      </c>
      <c r="H14" s="10"/>
      <c r="I14" s="9" t="s">
        <v>27</v>
      </c>
      <c r="J14" s="16">
        <v>26</v>
      </c>
      <c r="K14" s="9"/>
    </row>
    <row r="15" spans="2:11" ht="21.6" customHeight="1">
      <c r="B15" s="10"/>
      <c r="C15" s="6" t="s">
        <v>28</v>
      </c>
      <c r="D15" s="16">
        <v>2</v>
      </c>
      <c r="F15" s="9" t="s">
        <v>29</v>
      </c>
      <c r="G15" s="16">
        <v>17</v>
      </c>
      <c r="H15" s="10"/>
      <c r="I15" s="9" t="s">
        <v>30</v>
      </c>
      <c r="J15" s="16">
        <v>26</v>
      </c>
      <c r="K15" s="9"/>
    </row>
    <row r="16" spans="2:11" ht="21.6" customHeight="1">
      <c r="B16" s="6"/>
      <c r="C16" s="6" t="s">
        <v>31</v>
      </c>
      <c r="D16" s="16">
        <v>2</v>
      </c>
      <c r="F16" s="9" t="s">
        <v>32</v>
      </c>
      <c r="G16" s="16">
        <v>18</v>
      </c>
      <c r="H16" s="10"/>
      <c r="I16" s="9" t="s">
        <v>33</v>
      </c>
      <c r="J16" s="16">
        <v>27</v>
      </c>
      <c r="K16" s="9"/>
    </row>
    <row r="17" spans="2:11" ht="21.6" customHeight="1">
      <c r="B17" s="6"/>
      <c r="C17" s="9" t="s">
        <v>34</v>
      </c>
      <c r="D17" s="16">
        <v>3</v>
      </c>
      <c r="F17" s="9" t="s">
        <v>35</v>
      </c>
      <c r="G17" s="16">
        <v>18</v>
      </c>
      <c r="H17" s="10"/>
      <c r="I17" s="9" t="s">
        <v>36</v>
      </c>
      <c r="J17" s="16">
        <v>28</v>
      </c>
      <c r="K17" s="9"/>
    </row>
    <row r="18" spans="2:11" ht="21.6" customHeight="1">
      <c r="B18" s="6"/>
      <c r="C18" s="9" t="s">
        <v>37</v>
      </c>
      <c r="D18" s="16">
        <v>3</v>
      </c>
      <c r="F18" s="9" t="s">
        <v>38</v>
      </c>
      <c r="G18" s="16">
        <v>18</v>
      </c>
      <c r="H18" s="10"/>
      <c r="I18" s="9" t="s">
        <v>39</v>
      </c>
      <c r="J18" s="18">
        <v>29</v>
      </c>
      <c r="K18" s="9"/>
    </row>
    <row r="19" spans="2:11" ht="21.6" customHeight="1">
      <c r="B19" s="6"/>
      <c r="C19" s="9" t="s">
        <v>40</v>
      </c>
      <c r="D19" s="16">
        <v>4</v>
      </c>
      <c r="F19" s="9" t="s">
        <v>41</v>
      </c>
      <c r="G19" s="16">
        <v>19</v>
      </c>
      <c r="H19" s="10"/>
      <c r="I19" s="9" t="s">
        <v>42</v>
      </c>
      <c r="J19" s="18">
        <v>29</v>
      </c>
      <c r="K19" s="9"/>
    </row>
    <row r="20" spans="2:11" ht="21.6" customHeight="1">
      <c r="B20" s="6"/>
      <c r="C20" s="9" t="s">
        <v>43</v>
      </c>
      <c r="D20" s="16">
        <v>4</v>
      </c>
      <c r="F20" s="9" t="s">
        <v>44</v>
      </c>
      <c r="G20" s="16">
        <v>19</v>
      </c>
      <c r="H20" s="10"/>
      <c r="I20" s="9" t="s">
        <v>45</v>
      </c>
      <c r="J20" s="16">
        <v>29</v>
      </c>
      <c r="K20" s="9"/>
    </row>
    <row r="21" spans="2:11" ht="21.6" customHeight="1">
      <c r="B21" s="10"/>
      <c r="C21" s="9" t="s">
        <v>46</v>
      </c>
      <c r="D21" s="16">
        <v>4</v>
      </c>
      <c r="F21" s="9" t="s">
        <v>47</v>
      </c>
      <c r="G21" s="16" t="s">
        <v>48</v>
      </c>
      <c r="H21" s="9"/>
      <c r="I21" s="9" t="s">
        <v>49</v>
      </c>
      <c r="J21" s="16">
        <v>29</v>
      </c>
      <c r="K21" s="9"/>
    </row>
    <row r="22" spans="2:11" ht="21.6" customHeight="1">
      <c r="B22" s="10"/>
      <c r="C22" s="9" t="s">
        <v>50</v>
      </c>
      <c r="D22" s="16">
        <v>4</v>
      </c>
      <c r="F22" s="9" t="s">
        <v>51</v>
      </c>
      <c r="G22" s="16">
        <v>20</v>
      </c>
      <c r="H22" s="9"/>
      <c r="I22" s="9" t="s">
        <v>52</v>
      </c>
      <c r="J22" s="16">
        <v>30</v>
      </c>
      <c r="K22" s="9"/>
    </row>
    <row r="23" spans="2:11" ht="21.6" customHeight="1">
      <c r="B23" s="10"/>
      <c r="C23" s="9" t="s">
        <v>53</v>
      </c>
      <c r="D23" s="16">
        <v>4</v>
      </c>
      <c r="F23" s="9" t="s">
        <v>54</v>
      </c>
      <c r="G23" s="16">
        <v>21</v>
      </c>
      <c r="H23" s="10"/>
      <c r="I23" s="9" t="s">
        <v>55</v>
      </c>
      <c r="J23" s="16">
        <v>30</v>
      </c>
      <c r="K23" s="9"/>
    </row>
    <row r="24" spans="2:11" ht="21.6" customHeight="1">
      <c r="B24" s="10"/>
      <c r="C24" s="9" t="s">
        <v>56</v>
      </c>
      <c r="D24" s="16">
        <v>5</v>
      </c>
      <c r="F24" s="9" t="s">
        <v>57</v>
      </c>
      <c r="G24" s="16">
        <v>21</v>
      </c>
      <c r="H24" s="10"/>
      <c r="I24" s="9" t="s">
        <v>58</v>
      </c>
      <c r="J24" s="16">
        <v>30</v>
      </c>
      <c r="K24" s="9"/>
    </row>
    <row r="25" spans="2:11" ht="21.6" customHeight="1">
      <c r="B25" s="6"/>
      <c r="C25" s="9" t="s">
        <v>59</v>
      </c>
      <c r="D25" s="16">
        <v>5</v>
      </c>
      <c r="F25" s="9" t="s">
        <v>60</v>
      </c>
      <c r="G25" s="16">
        <v>21</v>
      </c>
      <c r="H25" s="10"/>
      <c r="I25" s="9" t="s">
        <v>61</v>
      </c>
      <c r="J25" s="18">
        <v>30</v>
      </c>
      <c r="K25" s="9"/>
    </row>
    <row r="26" spans="2:11" ht="21.6" customHeight="1">
      <c r="B26" s="10"/>
      <c r="C26" s="9" t="s">
        <v>62</v>
      </c>
      <c r="D26" s="16">
        <v>5</v>
      </c>
      <c r="F26" s="9" t="s">
        <v>63</v>
      </c>
      <c r="G26" s="16">
        <v>21</v>
      </c>
      <c r="H26" s="10"/>
      <c r="I26" s="9" t="s">
        <v>64</v>
      </c>
      <c r="J26" s="16">
        <v>30</v>
      </c>
      <c r="K26" s="9"/>
    </row>
    <row r="27" spans="2:11" ht="21.6" customHeight="1">
      <c r="B27" s="6"/>
      <c r="C27" s="9" t="s">
        <v>65</v>
      </c>
      <c r="D27" s="16">
        <v>6</v>
      </c>
      <c r="F27" s="9" t="s">
        <v>66</v>
      </c>
      <c r="G27" s="16">
        <v>21</v>
      </c>
      <c r="H27" s="10"/>
      <c r="I27" s="9" t="s">
        <v>67</v>
      </c>
      <c r="J27" s="16">
        <v>30</v>
      </c>
      <c r="K27" s="9"/>
    </row>
    <row r="28" spans="2:11" ht="21.6" customHeight="1">
      <c r="B28" s="6"/>
      <c r="C28" s="9" t="s">
        <v>68</v>
      </c>
      <c r="D28" s="16">
        <v>6</v>
      </c>
      <c r="F28" s="9" t="s">
        <v>69</v>
      </c>
      <c r="G28" s="16">
        <v>22</v>
      </c>
      <c r="H28" s="10"/>
      <c r="I28" s="9" t="s">
        <v>70</v>
      </c>
      <c r="J28" s="16">
        <v>30</v>
      </c>
      <c r="K28" s="9"/>
    </row>
    <row r="29" spans="2:11" ht="21.6" customHeight="1">
      <c r="B29" s="6"/>
      <c r="C29" s="9" t="s">
        <v>71</v>
      </c>
      <c r="D29" s="16">
        <v>7</v>
      </c>
      <c r="F29" s="9" t="s">
        <v>72</v>
      </c>
      <c r="G29" s="16">
        <v>22</v>
      </c>
      <c r="H29" s="9"/>
      <c r="I29" s="9" t="s">
        <v>73</v>
      </c>
      <c r="J29" s="16">
        <v>31</v>
      </c>
      <c r="K29" s="9"/>
    </row>
    <row r="30" spans="2:11" ht="21.6" customHeight="1">
      <c r="B30" s="6"/>
      <c r="C30" s="9" t="s">
        <v>74</v>
      </c>
      <c r="D30" s="16">
        <v>7</v>
      </c>
      <c r="F30" s="9" t="s">
        <v>75</v>
      </c>
      <c r="G30" s="16">
        <v>22</v>
      </c>
      <c r="H30" s="9"/>
      <c r="I30" s="9" t="s">
        <v>76</v>
      </c>
      <c r="J30" s="16">
        <v>31</v>
      </c>
      <c r="K30" s="9"/>
    </row>
    <row r="31" spans="2:11" ht="21.6" customHeight="1">
      <c r="B31" s="6"/>
      <c r="C31" s="9" t="s">
        <v>77</v>
      </c>
      <c r="D31" s="17" t="s">
        <v>78</v>
      </c>
      <c r="F31" s="9" t="s">
        <v>79</v>
      </c>
      <c r="G31" s="16">
        <v>22</v>
      </c>
      <c r="H31" s="9"/>
      <c r="I31" s="9" t="s">
        <v>80</v>
      </c>
      <c r="J31" s="16">
        <v>31</v>
      </c>
      <c r="K31" s="9"/>
    </row>
    <row r="32" spans="2:11" ht="21.6" customHeight="1">
      <c r="B32" s="6"/>
      <c r="C32" s="9" t="s">
        <v>81</v>
      </c>
      <c r="D32" s="17" t="s">
        <v>82</v>
      </c>
      <c r="F32" s="9" t="s">
        <v>83</v>
      </c>
      <c r="G32" s="16">
        <v>22</v>
      </c>
      <c r="H32" s="10"/>
      <c r="I32" s="9" t="s">
        <v>84</v>
      </c>
      <c r="J32" s="16">
        <v>31</v>
      </c>
      <c r="K32" s="9"/>
    </row>
    <row r="33" spans="2:11" ht="21.6" customHeight="1">
      <c r="B33" s="10"/>
      <c r="C33" s="9" t="s">
        <v>85</v>
      </c>
      <c r="D33" s="16">
        <v>13</v>
      </c>
      <c r="F33" s="9" t="s">
        <v>86</v>
      </c>
      <c r="G33" s="16">
        <v>22</v>
      </c>
      <c r="H33" s="10"/>
      <c r="I33" s="9" t="s">
        <v>87</v>
      </c>
      <c r="J33" s="16">
        <v>31</v>
      </c>
      <c r="K33" s="9"/>
    </row>
    <row r="34" spans="2:11" ht="21.6" customHeight="1">
      <c r="B34" s="6"/>
      <c r="C34" s="13" t="s">
        <v>88</v>
      </c>
      <c r="D34" s="16">
        <v>13</v>
      </c>
      <c r="F34" s="9" t="s">
        <v>89</v>
      </c>
      <c r="G34" s="16">
        <v>22</v>
      </c>
      <c r="H34" s="9"/>
      <c r="I34" s="9" t="s">
        <v>90</v>
      </c>
      <c r="J34" s="16">
        <v>31</v>
      </c>
      <c r="K34" s="9"/>
    </row>
    <row r="35" spans="2:11" ht="21.6" customHeight="1">
      <c r="B35" s="6"/>
      <c r="C35" s="9" t="s">
        <v>91</v>
      </c>
      <c r="D35" s="16">
        <v>14</v>
      </c>
      <c r="F35" s="9" t="s">
        <v>92</v>
      </c>
      <c r="G35" s="16">
        <v>23</v>
      </c>
      <c r="H35" s="9"/>
      <c r="I35" s="9" t="s">
        <v>93</v>
      </c>
      <c r="J35" s="16">
        <v>32</v>
      </c>
      <c r="K35" s="9"/>
    </row>
    <row r="36" spans="2:11" ht="21.6" customHeight="1">
      <c r="B36" s="10"/>
      <c r="C36" s="9" t="s">
        <v>94</v>
      </c>
      <c r="D36" s="16">
        <v>14</v>
      </c>
      <c r="F36" s="9" t="s">
        <v>95</v>
      </c>
      <c r="G36" s="16">
        <v>23</v>
      </c>
      <c r="H36" s="10"/>
      <c r="K36" s="9"/>
    </row>
    <row r="37" spans="2:11" ht="21.6" customHeight="1">
      <c r="B37" s="10"/>
      <c r="C37" s="9" t="s">
        <v>96</v>
      </c>
      <c r="D37" s="16">
        <v>14</v>
      </c>
      <c r="F37" s="9" t="s">
        <v>97</v>
      </c>
      <c r="G37" s="16">
        <v>23</v>
      </c>
      <c r="H37" s="10"/>
      <c r="K37" s="9"/>
    </row>
    <row r="38" spans="2:11" ht="21.6" customHeight="1">
      <c r="B38" s="10"/>
      <c r="F38" s="9" t="s">
        <v>98</v>
      </c>
      <c r="G38" s="16">
        <v>23</v>
      </c>
      <c r="K38" s="9"/>
    </row>
    <row r="39" spans="2:11" ht="21" customHeight="1">
      <c r="I39" s="6"/>
      <c r="J39" s="7"/>
    </row>
    <row r="40" spans="2:11" ht="21" customHeight="1">
      <c r="I40" s="6"/>
    </row>
    <row r="41" spans="2:11" ht="21.6" customHeight="1">
      <c r="G41" s="15"/>
      <c r="I41" s="6"/>
    </row>
    <row r="42" spans="2:11" ht="21" customHeight="1">
      <c r="C42" s="9"/>
      <c r="I42" s="6"/>
    </row>
    <row r="50" spans="9:10" ht="21" customHeight="1">
      <c r="J50" s="12"/>
    </row>
    <row r="51" spans="9:10" ht="21.6" customHeight="1">
      <c r="J51" s="15"/>
    </row>
    <row r="53" spans="9:10" ht="21.6" customHeight="1">
      <c r="I53" s="15"/>
    </row>
    <row r="86" spans="3:3" ht="21" customHeight="1"/>
    <row r="90" spans="3:3" ht="15" customHeight="1"/>
    <row r="93" spans="3:3" ht="21" customHeight="1">
      <c r="C93" s="6"/>
    </row>
    <row r="94" spans="3:3" ht="21" customHeight="1">
      <c r="C94" s="9"/>
    </row>
    <row r="95" spans="3:3" ht="21" customHeight="1">
      <c r="C95" s="6"/>
    </row>
    <row r="278" spans="6:6">
      <c r="F278" s="4" t="s">
        <v>99</v>
      </c>
    </row>
  </sheetData>
  <mergeCells count="1">
    <mergeCell ref="B3:K3"/>
  </mergeCells>
  <pageMargins left="0.25" right="0.25" top="0.75" bottom="0.75" header="0.3" footer="0.3"/>
  <pageSetup scale="62" orientation="landscape"/>
  <headerFooter>
    <oddFooter>&amp;C&amp;"Calibri"&amp;11 &amp;K000000_x000D_# Grupo Lamosa - Información de uso público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0"/>
    <pageSetUpPr fitToPage="1"/>
  </sheetPr>
  <dimension ref="A1:T1638"/>
  <sheetViews>
    <sheetView showGridLines="0" tabSelected="1" topLeftCell="A1525" zoomScaleNormal="100" zoomScaleSheetLayoutView="90" zoomScalePageLayoutView="50" workbookViewId="0">
      <selection activeCell="M1541" sqref="M1541:M1543"/>
    </sheetView>
  </sheetViews>
  <sheetFormatPr defaultColWidth="9.140625" defaultRowHeight="14.45"/>
  <cols>
    <col min="1" max="1" width="15.42578125" style="20" customWidth="1"/>
    <col min="2" max="2" width="16.5703125" style="21" customWidth="1"/>
    <col min="3" max="3" width="28.140625" style="119" customWidth="1"/>
    <col min="4" max="4" width="22.42578125" style="22" customWidth="1"/>
    <col min="5" max="5" width="49.42578125" style="20" bestFit="1" customWidth="1"/>
    <col min="6" max="6" width="12.5703125" style="22" customWidth="1"/>
    <col min="7" max="7" width="19.42578125" style="22" customWidth="1"/>
    <col min="8" max="8" width="9.42578125" style="22" bestFit="1" customWidth="1"/>
    <col min="9" max="9" width="18.5703125" style="23" customWidth="1"/>
    <col min="10" max="10" width="15.5703125" style="23" customWidth="1"/>
    <col min="11" max="11" width="11.85546875" style="22" bestFit="1" customWidth="1"/>
    <col min="12" max="12" width="17.42578125" style="23" customWidth="1"/>
    <col min="13" max="13" width="11.85546875" style="23" bestFit="1" customWidth="1"/>
    <col min="14" max="14" width="13.140625" style="23" customWidth="1"/>
    <col min="15" max="15" width="9.140625" style="20" customWidth="1"/>
    <col min="16" max="16384" width="9.140625" style="20"/>
  </cols>
  <sheetData>
    <row r="1" spans="2:14" ht="15" customHeight="1" thickBot="1"/>
    <row r="2" spans="2:14" s="24" customFormat="1" ht="32.1" customHeight="1" thickBot="1">
      <c r="B2" s="25"/>
      <c r="C2" s="1084" t="s">
        <v>100</v>
      </c>
      <c r="D2" s="22"/>
      <c r="E2" s="20"/>
      <c r="F2" s="22"/>
      <c r="G2" s="22"/>
      <c r="H2" s="1349" t="s">
        <v>101</v>
      </c>
      <c r="I2" s="1675"/>
      <c r="J2" s="1675"/>
      <c r="K2" s="1133" t="s">
        <v>102</v>
      </c>
      <c r="L2" s="1675"/>
      <c r="M2" s="1676"/>
      <c r="N2" s="26"/>
    </row>
    <row r="3" spans="2:14" s="24" customFormat="1" ht="15" customHeight="1" thickBot="1">
      <c r="B3" s="25"/>
      <c r="C3" s="82" t="s">
        <v>103</v>
      </c>
      <c r="D3" s="31" t="s">
        <v>104</v>
      </c>
      <c r="E3" s="42" t="s">
        <v>105</v>
      </c>
      <c r="F3" s="31" t="s">
        <v>106</v>
      </c>
      <c r="G3" s="31" t="s">
        <v>107</v>
      </c>
      <c r="H3" s="43" t="s">
        <v>108</v>
      </c>
      <c r="I3" s="44" t="s">
        <v>109</v>
      </c>
      <c r="J3" s="45" t="s">
        <v>110</v>
      </c>
      <c r="K3" s="43" t="s">
        <v>111</v>
      </c>
      <c r="L3" s="44" t="s">
        <v>109</v>
      </c>
      <c r="M3" s="55" t="s">
        <v>110</v>
      </c>
      <c r="N3" s="37"/>
    </row>
    <row r="4" spans="2:14" s="24" customFormat="1" ht="15" customHeight="1" thickBot="1">
      <c r="B4" s="21" t="s">
        <v>112</v>
      </c>
      <c r="C4" s="1040" t="s">
        <v>113</v>
      </c>
      <c r="D4" s="1171" t="s">
        <v>114</v>
      </c>
      <c r="E4" s="1041" t="s">
        <v>115</v>
      </c>
      <c r="F4" s="327" t="s">
        <v>109</v>
      </c>
      <c r="G4" s="1042">
        <v>3.18</v>
      </c>
      <c r="H4" s="531">
        <v>6</v>
      </c>
      <c r="I4" s="1043">
        <v>11.63</v>
      </c>
      <c r="J4" s="531">
        <v>48.5</v>
      </c>
      <c r="K4" s="531">
        <v>48</v>
      </c>
      <c r="L4" s="532">
        <v>558.24</v>
      </c>
      <c r="M4" s="533">
        <v>2327.9</v>
      </c>
      <c r="N4" s="328"/>
    </row>
    <row r="5" spans="2:14" s="24" customFormat="1" ht="15" customHeight="1" thickBot="1">
      <c r="B5" s="21"/>
      <c r="C5" s="1040" t="s">
        <v>116</v>
      </c>
      <c r="D5" s="1172"/>
      <c r="E5" s="1041" t="s">
        <v>117</v>
      </c>
      <c r="F5" s="327" t="s">
        <v>109</v>
      </c>
      <c r="G5" s="1042">
        <v>3.18</v>
      </c>
      <c r="H5" s="531">
        <v>6</v>
      </c>
      <c r="I5" s="1043">
        <v>11.63</v>
      </c>
      <c r="J5" s="531">
        <v>48.5</v>
      </c>
      <c r="K5" s="531">
        <v>48</v>
      </c>
      <c r="L5" s="532">
        <v>558.24</v>
      </c>
      <c r="M5" s="533">
        <v>2327.9</v>
      </c>
      <c r="N5" s="328"/>
    </row>
    <row r="6" spans="2:14" s="24" customFormat="1" ht="15" thickBot="1">
      <c r="B6" s="21"/>
      <c r="C6" s="1040" t="s">
        <v>118</v>
      </c>
      <c r="D6" s="1171" t="s">
        <v>119</v>
      </c>
      <c r="E6" s="1041" t="s">
        <v>120</v>
      </c>
      <c r="F6" s="327" t="s">
        <v>109</v>
      </c>
      <c r="G6" s="1042">
        <v>3.18</v>
      </c>
      <c r="H6" s="531">
        <v>2</v>
      </c>
      <c r="I6" s="1043">
        <v>15.5</v>
      </c>
      <c r="J6" s="531">
        <v>48.5</v>
      </c>
      <c r="K6" s="531">
        <v>35</v>
      </c>
      <c r="L6" s="532">
        <v>542.5</v>
      </c>
      <c r="M6" s="533">
        <v>2359.63</v>
      </c>
      <c r="N6" s="328"/>
    </row>
    <row r="7" spans="2:14" s="24" customFormat="1" ht="15" thickBot="1">
      <c r="B7" s="21"/>
      <c r="C7" s="1040" t="s">
        <v>121</v>
      </c>
      <c r="D7" s="1172"/>
      <c r="E7" s="1041" t="s">
        <v>122</v>
      </c>
      <c r="F7" s="327" t="s">
        <v>109</v>
      </c>
      <c r="G7" s="1042">
        <v>3.18</v>
      </c>
      <c r="H7" s="531">
        <v>2</v>
      </c>
      <c r="I7" s="1043">
        <v>15.5</v>
      </c>
      <c r="J7" s="531">
        <v>48.5</v>
      </c>
      <c r="K7" s="531">
        <v>35</v>
      </c>
      <c r="L7" s="532">
        <v>542.5</v>
      </c>
      <c r="M7" s="533">
        <v>2359.63</v>
      </c>
      <c r="N7" s="328"/>
    </row>
    <row r="8" spans="2:14" s="24" customFormat="1" ht="15" customHeight="1" thickBot="1">
      <c r="B8" s="21"/>
      <c r="C8" s="242"/>
      <c r="D8" s="243"/>
      <c r="E8" s="242"/>
      <c r="F8" s="243"/>
      <c r="G8" s="550"/>
      <c r="H8" s="242"/>
      <c r="I8" s="243"/>
      <c r="J8" s="242"/>
      <c r="K8" s="243"/>
      <c r="L8" s="242"/>
      <c r="M8" s="243"/>
      <c r="N8" s="243"/>
    </row>
    <row r="9" spans="2:14" s="24" customFormat="1" ht="32.1" customHeight="1" thickBot="1">
      <c r="B9" s="25"/>
      <c r="C9" s="1084" t="s">
        <v>123</v>
      </c>
      <c r="D9" s="22"/>
      <c r="E9" s="20"/>
      <c r="F9" s="22"/>
      <c r="G9" s="549"/>
      <c r="H9" s="1349" t="s">
        <v>101</v>
      </c>
      <c r="I9" s="1675"/>
      <c r="J9" s="1675"/>
      <c r="K9" s="1133" t="s">
        <v>102</v>
      </c>
      <c r="L9" s="1675"/>
      <c r="M9" s="1676"/>
      <c r="N9" s="26"/>
    </row>
    <row r="10" spans="2:14" s="24" customFormat="1" ht="15" customHeight="1" thickBot="1">
      <c r="B10" s="25"/>
      <c r="C10" s="27" t="s">
        <v>103</v>
      </c>
      <c r="D10" s="32" t="s">
        <v>104</v>
      </c>
      <c r="E10" s="1085" t="s">
        <v>105</v>
      </c>
      <c r="F10" s="1086" t="s">
        <v>106</v>
      </c>
      <c r="G10" s="32" t="s">
        <v>107</v>
      </c>
      <c r="H10" s="32" t="s">
        <v>108</v>
      </c>
      <c r="I10" s="32" t="s">
        <v>109</v>
      </c>
      <c r="J10" s="32" t="s">
        <v>110</v>
      </c>
      <c r="K10" s="32" t="s">
        <v>111</v>
      </c>
      <c r="L10" s="32" t="s">
        <v>109</v>
      </c>
      <c r="M10" s="32" t="s">
        <v>110</v>
      </c>
      <c r="N10" s="37"/>
    </row>
    <row r="11" spans="2:14" s="24" customFormat="1" ht="16.350000000000001" customHeight="1" thickBot="1">
      <c r="B11" s="885"/>
      <c r="C11" s="891" t="s">
        <v>124</v>
      </c>
      <c r="D11" s="1119" t="s">
        <v>125</v>
      </c>
      <c r="E11" s="240" t="s">
        <v>126</v>
      </c>
      <c r="F11" s="1119" t="s">
        <v>109</v>
      </c>
      <c r="G11" s="1501">
        <v>3</v>
      </c>
      <c r="H11" s="1354">
        <v>5</v>
      </c>
      <c r="I11" s="1354" t="s">
        <v>127</v>
      </c>
      <c r="J11" s="1354">
        <v>51.91</v>
      </c>
      <c r="K11" s="1354">
        <v>48</v>
      </c>
      <c r="L11" s="1184">
        <v>620.16</v>
      </c>
      <c r="M11" s="1184">
        <v>2491.92</v>
      </c>
      <c r="N11" s="328"/>
    </row>
    <row r="12" spans="2:14" s="24" customFormat="1" ht="16.350000000000001" customHeight="1">
      <c r="B12" s="885"/>
      <c r="C12" s="892" t="s">
        <v>128</v>
      </c>
      <c r="D12" s="1119"/>
      <c r="E12" s="241" t="s">
        <v>129</v>
      </c>
      <c r="F12" s="1119"/>
      <c r="G12" s="1677"/>
      <c r="H12" s="1678"/>
      <c r="I12" s="1678"/>
      <c r="J12" s="1678"/>
      <c r="K12" s="1678"/>
      <c r="L12" s="1678"/>
      <c r="M12" s="1678"/>
      <c r="N12" s="328"/>
    </row>
    <row r="13" spans="2:14" s="24" customFormat="1" ht="16.350000000000001" customHeight="1">
      <c r="B13" s="885"/>
      <c r="C13" s="958" t="s">
        <v>130</v>
      </c>
      <c r="D13" s="1119"/>
      <c r="E13" s="241" t="s">
        <v>131</v>
      </c>
      <c r="F13" s="1119"/>
      <c r="G13" s="1677"/>
      <c r="H13" s="1038">
        <v>5</v>
      </c>
      <c r="I13" s="1038">
        <v>12.92</v>
      </c>
      <c r="J13" s="1038">
        <v>54.45</v>
      </c>
      <c r="K13" s="1038">
        <v>45</v>
      </c>
      <c r="L13" s="1039">
        <v>581.4</v>
      </c>
      <c r="M13" s="1039">
        <v>2450.25</v>
      </c>
      <c r="N13" s="328"/>
    </row>
    <row r="14" spans="2:14" s="24" customFormat="1" ht="16.350000000000001" customHeight="1">
      <c r="B14" s="885"/>
      <c r="C14" s="958" t="s">
        <v>132</v>
      </c>
      <c r="D14" s="1119"/>
      <c r="E14" s="241" t="s">
        <v>131</v>
      </c>
      <c r="F14" s="1119"/>
      <c r="G14" s="1677"/>
      <c r="H14" s="1354">
        <v>5</v>
      </c>
      <c r="I14" s="1354" t="s">
        <v>127</v>
      </c>
      <c r="J14" s="1354">
        <v>51.91</v>
      </c>
      <c r="K14" s="1354">
        <v>48</v>
      </c>
      <c r="L14" s="1184">
        <v>620.16</v>
      </c>
      <c r="M14" s="1184">
        <v>2491.92</v>
      </c>
      <c r="N14" s="328"/>
    </row>
    <row r="15" spans="2:14" s="24" customFormat="1" ht="16.350000000000001" customHeight="1" thickBot="1">
      <c r="B15" s="885"/>
      <c r="C15" s="886" t="s">
        <v>133</v>
      </c>
      <c r="D15" s="1119"/>
      <c r="E15" s="1" t="s">
        <v>134</v>
      </c>
      <c r="F15" s="1119"/>
      <c r="G15" s="1677"/>
      <c r="H15" s="1678"/>
      <c r="I15" s="1678"/>
      <c r="J15" s="1678"/>
      <c r="K15" s="1678"/>
      <c r="L15" s="1678"/>
      <c r="M15" s="1678"/>
      <c r="N15" s="328"/>
    </row>
    <row r="16" spans="2:14" s="24" customFormat="1" ht="16.350000000000001" customHeight="1" thickBot="1">
      <c r="B16" s="21"/>
      <c r="C16" s="886" t="s">
        <v>135</v>
      </c>
      <c r="D16" s="1119"/>
      <c r="E16" s="1" t="s">
        <v>134</v>
      </c>
      <c r="F16" s="1119"/>
      <c r="G16" s="1679"/>
      <c r="H16" s="1038">
        <v>5</v>
      </c>
      <c r="I16" s="1038">
        <v>12.92</v>
      </c>
      <c r="J16" s="1038">
        <v>54.45</v>
      </c>
      <c r="K16" s="1038">
        <v>45</v>
      </c>
      <c r="L16" s="1039">
        <v>581.4</v>
      </c>
      <c r="M16" s="1039">
        <v>2450.25</v>
      </c>
      <c r="N16" s="328"/>
    </row>
    <row r="17" spans="2:14" s="24" customFormat="1" ht="15" thickBot="1">
      <c r="B17" s="21"/>
      <c r="C17" s="288" t="s">
        <v>136</v>
      </c>
      <c r="D17" s="1119"/>
      <c r="E17" s="246" t="s">
        <v>137</v>
      </c>
      <c r="F17" s="1119"/>
      <c r="G17" s="1505">
        <v>3.18</v>
      </c>
      <c r="H17" s="1038">
        <v>5</v>
      </c>
      <c r="I17" s="1038">
        <v>12.92</v>
      </c>
      <c r="J17" s="1038" t="s">
        <v>138</v>
      </c>
      <c r="K17" s="1038">
        <v>45</v>
      </c>
      <c r="L17" s="1039">
        <v>581.4</v>
      </c>
      <c r="M17" s="1039">
        <v>2450.25</v>
      </c>
      <c r="N17" s="328"/>
    </row>
    <row r="18" spans="2:14" s="24" customFormat="1">
      <c r="B18" s="21"/>
      <c r="C18" s="251" t="s">
        <v>139</v>
      </c>
      <c r="D18" s="1119"/>
      <c r="E18" s="241" t="s">
        <v>140</v>
      </c>
      <c r="F18" s="1119"/>
      <c r="G18" s="1680"/>
      <c r="H18" s="1354">
        <v>5</v>
      </c>
      <c r="I18" s="1354" t="s">
        <v>127</v>
      </c>
      <c r="J18" s="1354">
        <v>51.91</v>
      </c>
      <c r="K18" s="1354">
        <v>48</v>
      </c>
      <c r="L18" s="1184">
        <v>620.16</v>
      </c>
      <c r="M18" s="1184">
        <v>2491.92</v>
      </c>
      <c r="N18" s="328"/>
    </row>
    <row r="19" spans="2:14" s="24" customFormat="1" ht="15" customHeight="1" thickBot="1">
      <c r="B19" s="21"/>
      <c r="C19" s="251" t="s">
        <v>141</v>
      </c>
      <c r="D19" s="1120"/>
      <c r="E19" s="241" t="s">
        <v>142</v>
      </c>
      <c r="F19" s="1119"/>
      <c r="G19" s="1681"/>
      <c r="H19" s="1678"/>
      <c r="I19" s="1678"/>
      <c r="J19" s="1678"/>
      <c r="K19" s="1678"/>
      <c r="L19" s="1678"/>
      <c r="M19" s="1678"/>
      <c r="N19" s="328"/>
    </row>
    <row r="20" spans="2:14" ht="15.75" customHeight="1" thickBot="1">
      <c r="B20" s="885" t="s">
        <v>143</v>
      </c>
      <c r="C20" s="893" t="s">
        <v>144</v>
      </c>
      <c r="D20" s="238"/>
      <c r="E20" s="894" t="s">
        <v>145</v>
      </c>
      <c r="F20" s="1120"/>
      <c r="G20" s="579">
        <v>3.6</v>
      </c>
      <c r="H20" s="993">
        <v>4</v>
      </c>
      <c r="I20" s="530">
        <v>11.63</v>
      </c>
      <c r="J20" s="386">
        <v>45.185000000000002</v>
      </c>
      <c r="K20" s="334">
        <v>48</v>
      </c>
      <c r="L20" s="530">
        <v>558.24</v>
      </c>
      <c r="M20" s="386">
        <v>2168.88</v>
      </c>
      <c r="N20" s="328"/>
    </row>
    <row r="21" spans="2:14" ht="15" customHeight="1" thickBot="1">
      <c r="B21" s="514"/>
      <c r="C21" s="256"/>
      <c r="D21" s="243"/>
      <c r="E21" s="38"/>
      <c r="F21" s="243"/>
      <c r="G21" s="24"/>
      <c r="H21" s="24"/>
      <c r="I21" s="328"/>
      <c r="J21" s="328"/>
      <c r="K21" s="243"/>
      <c r="L21" s="328"/>
      <c r="M21" s="328"/>
      <c r="N21" s="328"/>
    </row>
    <row r="22" spans="2:14" ht="30" customHeight="1" thickBot="1">
      <c r="C22" s="1087" t="s">
        <v>146</v>
      </c>
      <c r="F22" s="243"/>
      <c r="G22" s="323"/>
      <c r="H22" s="1133" t="s">
        <v>101</v>
      </c>
      <c r="I22" s="1675"/>
      <c r="J22" s="1676"/>
      <c r="K22" s="1133" t="s">
        <v>102</v>
      </c>
      <c r="L22" s="1675"/>
      <c r="M22" s="1676"/>
      <c r="N22" s="26"/>
    </row>
    <row r="23" spans="2:14" ht="15" customHeight="1" thickBot="1">
      <c r="C23" s="28" t="s">
        <v>103</v>
      </c>
      <c r="D23" s="32" t="s">
        <v>104</v>
      </c>
      <c r="E23" s="30" t="s">
        <v>105</v>
      </c>
      <c r="F23" s="32" t="s">
        <v>106</v>
      </c>
      <c r="G23" s="32" t="s">
        <v>107</v>
      </c>
      <c r="H23" s="33" t="s">
        <v>108</v>
      </c>
      <c r="I23" s="34" t="s">
        <v>109</v>
      </c>
      <c r="J23" s="36" t="s">
        <v>110</v>
      </c>
      <c r="K23" s="33" t="s">
        <v>111</v>
      </c>
      <c r="L23" s="34" t="s">
        <v>109</v>
      </c>
      <c r="M23" s="36" t="s">
        <v>110</v>
      </c>
      <c r="N23" s="37"/>
    </row>
    <row r="24" spans="2:14" ht="15" customHeight="1" thickBot="1">
      <c r="B24" s="21" t="s">
        <v>112</v>
      </c>
      <c r="C24" s="257" t="s">
        <v>147</v>
      </c>
      <c r="D24" s="255" t="s">
        <v>119</v>
      </c>
      <c r="E24" s="257" t="s">
        <v>148</v>
      </c>
      <c r="F24" s="255" t="s">
        <v>109</v>
      </c>
      <c r="G24" s="545">
        <v>2.2200000000000002</v>
      </c>
      <c r="H24" s="324">
        <v>2</v>
      </c>
      <c r="I24" s="325">
        <v>15.5</v>
      </c>
      <c r="J24" s="329">
        <v>67.239999999999995</v>
      </c>
      <c r="K24" s="324">
        <v>30</v>
      </c>
      <c r="L24" s="325">
        <v>465</v>
      </c>
      <c r="M24" s="329">
        <v>2017.2</v>
      </c>
      <c r="N24" s="328"/>
    </row>
    <row r="25" spans="2:14" ht="15" thickBot="1">
      <c r="C25" s="256"/>
      <c r="D25" s="243"/>
      <c r="E25" s="256"/>
      <c r="F25" s="243"/>
      <c r="G25" s="323"/>
      <c r="H25" s="243"/>
      <c r="I25" s="328"/>
      <c r="J25" s="328"/>
      <c r="K25" s="243"/>
      <c r="L25" s="328"/>
      <c r="M25" s="328"/>
      <c r="N25" s="328"/>
    </row>
    <row r="26" spans="2:14" ht="30" customHeight="1" thickBot="1">
      <c r="C26" s="1087" t="s">
        <v>149</v>
      </c>
      <c r="D26" s="320"/>
      <c r="E26" s="256"/>
      <c r="F26" s="243"/>
      <c r="G26" s="323"/>
      <c r="H26" s="1133" t="s">
        <v>101</v>
      </c>
      <c r="I26" s="1675"/>
      <c r="J26" s="1676"/>
      <c r="K26" s="1133" t="s">
        <v>102</v>
      </c>
      <c r="L26" s="1675"/>
      <c r="M26" s="1676"/>
      <c r="N26" s="328"/>
    </row>
    <row r="27" spans="2:14" ht="15" customHeight="1" thickBot="1">
      <c r="C27" s="29" t="s">
        <v>103</v>
      </c>
      <c r="D27" s="31" t="s">
        <v>104</v>
      </c>
      <c r="E27" s="42" t="s">
        <v>105</v>
      </c>
      <c r="F27" s="31" t="s">
        <v>106</v>
      </c>
      <c r="G27" s="32" t="s">
        <v>107</v>
      </c>
      <c r="H27" s="33" t="s">
        <v>108</v>
      </c>
      <c r="I27" s="34" t="s">
        <v>109</v>
      </c>
      <c r="J27" s="36" t="s">
        <v>110</v>
      </c>
      <c r="K27" s="33" t="s">
        <v>111</v>
      </c>
      <c r="L27" s="34" t="s">
        <v>109</v>
      </c>
      <c r="M27" s="36" t="s">
        <v>110</v>
      </c>
      <c r="N27" s="328"/>
    </row>
    <row r="28" spans="2:14" ht="15" customHeight="1" thickBot="1">
      <c r="B28" s="602" t="s">
        <v>150</v>
      </c>
      <c r="C28" s="1015" t="s">
        <v>151</v>
      </c>
      <c r="D28" s="1254" t="s">
        <v>152</v>
      </c>
      <c r="E28" s="1010" t="s">
        <v>153</v>
      </c>
      <c r="F28" s="1256" t="s">
        <v>109</v>
      </c>
      <c r="G28" s="1186">
        <v>3.6</v>
      </c>
      <c r="H28" s="1510">
        <v>34</v>
      </c>
      <c r="I28" s="1183">
        <v>14.45</v>
      </c>
      <c r="J28" s="1181">
        <f>M28/K28</f>
        <v>44.064</v>
      </c>
      <c r="K28" s="1181">
        <v>45</v>
      </c>
      <c r="L28" s="1181">
        <v>650.21</v>
      </c>
      <c r="M28" s="1181">
        <v>1982.88</v>
      </c>
      <c r="N28" s="328"/>
    </row>
    <row r="29" spans="2:14" ht="15" customHeight="1" thickBot="1">
      <c r="B29" s="602" t="s">
        <v>150</v>
      </c>
      <c r="C29" s="1019" t="s">
        <v>154</v>
      </c>
      <c r="D29" s="1255"/>
      <c r="E29" s="1014" t="s">
        <v>155</v>
      </c>
      <c r="F29" s="1256"/>
      <c r="G29" s="1682"/>
      <c r="H29" s="1683"/>
      <c r="I29" s="1683"/>
      <c r="J29" s="1683"/>
      <c r="K29" s="1683"/>
      <c r="L29" s="1683"/>
      <c r="M29" s="1683"/>
      <c r="N29" s="328"/>
    </row>
    <row r="30" spans="2:14" ht="15" customHeight="1" thickBot="1">
      <c r="B30" s="602" t="s">
        <v>150</v>
      </c>
      <c r="C30" s="1016" t="s">
        <v>156</v>
      </c>
      <c r="D30" s="1256"/>
      <c r="E30" s="1011" t="s">
        <v>157</v>
      </c>
      <c r="F30" s="1256"/>
      <c r="G30" s="1682"/>
      <c r="H30" s="1683"/>
      <c r="I30" s="1683"/>
      <c r="J30" s="1683"/>
      <c r="K30" s="1683"/>
      <c r="L30" s="1683"/>
      <c r="M30" s="1683"/>
      <c r="N30" s="328"/>
    </row>
    <row r="31" spans="2:14" ht="15" thickBot="1">
      <c r="B31" s="602" t="s">
        <v>150</v>
      </c>
      <c r="C31" s="1017" t="s">
        <v>158</v>
      </c>
      <c r="D31" s="1257"/>
      <c r="E31" s="1013" t="s">
        <v>159</v>
      </c>
      <c r="F31" s="1256"/>
      <c r="G31" s="1684"/>
      <c r="H31" s="1685"/>
      <c r="I31" s="1685"/>
      <c r="J31" s="1685"/>
      <c r="K31" s="1685"/>
      <c r="L31" s="1685"/>
      <c r="M31" s="1685"/>
      <c r="N31" s="328"/>
    </row>
    <row r="32" spans="2:14" ht="15" thickBot="1">
      <c r="B32" s="602" t="s">
        <v>150</v>
      </c>
      <c r="C32" s="1015" t="s">
        <v>160</v>
      </c>
      <c r="D32" s="1254" t="s">
        <v>161</v>
      </c>
      <c r="E32" s="1010" t="s">
        <v>162</v>
      </c>
      <c r="F32" s="1256" t="s">
        <v>109</v>
      </c>
      <c r="G32" s="1186">
        <v>3</v>
      </c>
      <c r="H32" s="1510">
        <v>60</v>
      </c>
      <c r="I32" s="1181">
        <v>6.5</v>
      </c>
      <c r="J32" s="1181">
        <f>M32/K32</f>
        <v>15.180000000000001</v>
      </c>
      <c r="K32" s="1181">
        <v>105</v>
      </c>
      <c r="L32" s="1181">
        <v>682.5</v>
      </c>
      <c r="M32" s="1181">
        <v>1593.9</v>
      </c>
      <c r="N32" s="328"/>
    </row>
    <row r="33" spans="2:14" ht="15" thickBot="1">
      <c r="B33" s="602" t="s">
        <v>150</v>
      </c>
      <c r="C33" s="1016" t="s">
        <v>163</v>
      </c>
      <c r="D33" s="1256"/>
      <c r="E33" s="1011" t="s">
        <v>164</v>
      </c>
      <c r="F33" s="1256"/>
      <c r="G33" s="1682"/>
      <c r="H33" s="1683"/>
      <c r="I33" s="1683"/>
      <c r="J33" s="1683"/>
      <c r="K33" s="1683"/>
      <c r="L33" s="1683"/>
      <c r="M33" s="1683"/>
      <c r="N33" s="328"/>
    </row>
    <row r="34" spans="2:14" ht="15" thickBot="1">
      <c r="B34" s="602" t="s">
        <v>150</v>
      </c>
      <c r="C34" s="1016" t="s">
        <v>165</v>
      </c>
      <c r="D34" s="1256"/>
      <c r="E34" s="1011" t="s">
        <v>166</v>
      </c>
      <c r="F34" s="1256"/>
      <c r="G34" s="1682"/>
      <c r="H34" s="1683"/>
      <c r="I34" s="1683"/>
      <c r="J34" s="1683"/>
      <c r="K34" s="1683"/>
      <c r="L34" s="1683"/>
      <c r="M34" s="1683"/>
      <c r="N34" s="328"/>
    </row>
    <row r="35" spans="2:14" ht="15" thickBot="1">
      <c r="B35" s="602" t="s">
        <v>150</v>
      </c>
      <c r="C35" s="1016" t="s">
        <v>167</v>
      </c>
      <c r="D35" s="1256"/>
      <c r="E35" s="1011" t="s">
        <v>168</v>
      </c>
      <c r="F35" s="1256"/>
      <c r="G35" s="1682"/>
      <c r="H35" s="1683"/>
      <c r="I35" s="1683"/>
      <c r="J35" s="1683"/>
      <c r="K35" s="1683"/>
      <c r="L35" s="1683"/>
      <c r="M35" s="1683"/>
      <c r="N35" s="328"/>
    </row>
    <row r="36" spans="2:14" ht="15" thickBot="1">
      <c r="B36" s="602" t="s">
        <v>150</v>
      </c>
      <c r="C36" s="1016" t="s">
        <v>169</v>
      </c>
      <c r="D36" s="1256"/>
      <c r="E36" s="1011" t="s">
        <v>170</v>
      </c>
      <c r="F36" s="1256"/>
      <c r="G36" s="1682"/>
      <c r="H36" s="1683"/>
      <c r="I36" s="1683"/>
      <c r="J36" s="1683"/>
      <c r="K36" s="1683"/>
      <c r="L36" s="1683"/>
      <c r="M36" s="1683"/>
      <c r="N36" s="328"/>
    </row>
    <row r="37" spans="2:14" ht="15" thickBot="1">
      <c r="B37" s="602" t="s">
        <v>150</v>
      </c>
      <c r="C37" s="1016" t="s">
        <v>171</v>
      </c>
      <c r="D37" s="1256"/>
      <c r="E37" s="1011" t="s">
        <v>172</v>
      </c>
      <c r="F37" s="1256"/>
      <c r="G37" s="1682"/>
      <c r="H37" s="1683"/>
      <c r="I37" s="1683"/>
      <c r="J37" s="1683"/>
      <c r="K37" s="1683"/>
      <c r="L37" s="1683"/>
      <c r="M37" s="1683"/>
      <c r="N37" s="328"/>
    </row>
    <row r="38" spans="2:14" ht="15" thickBot="1">
      <c r="B38" s="602" t="s">
        <v>150</v>
      </c>
      <c r="C38" s="1016" t="s">
        <v>173</v>
      </c>
      <c r="D38" s="1256"/>
      <c r="E38" s="1011" t="s">
        <v>174</v>
      </c>
      <c r="F38" s="1256"/>
      <c r="G38" s="1682"/>
      <c r="H38" s="1683"/>
      <c r="I38" s="1683"/>
      <c r="J38" s="1683"/>
      <c r="K38" s="1683"/>
      <c r="L38" s="1683"/>
      <c r="M38" s="1683"/>
      <c r="N38" s="328"/>
    </row>
    <row r="39" spans="2:14" ht="15" thickBot="1">
      <c r="B39" s="602" t="s">
        <v>150</v>
      </c>
      <c r="C39" s="1018" t="s">
        <v>175</v>
      </c>
      <c r="D39" s="1542"/>
      <c r="E39" s="1012" t="s">
        <v>176</v>
      </c>
      <c r="F39" s="1256"/>
      <c r="G39" s="1684"/>
      <c r="H39" s="1685"/>
      <c r="I39" s="1685"/>
      <c r="J39" s="1685"/>
      <c r="K39" s="1685"/>
      <c r="L39" s="1685"/>
      <c r="M39" s="1685"/>
      <c r="N39" s="328"/>
    </row>
    <row r="40" spans="2:14" ht="15" thickBot="1">
      <c r="B40" s="602" t="s">
        <v>150</v>
      </c>
      <c r="C40" s="1019" t="s">
        <v>177</v>
      </c>
      <c r="D40" s="1255" t="s">
        <v>178</v>
      </c>
      <c r="E40" s="1014" t="s">
        <v>179</v>
      </c>
      <c r="F40" s="1256" t="s">
        <v>109</v>
      </c>
      <c r="G40" s="1186">
        <v>3</v>
      </c>
      <c r="H40" s="1510">
        <v>50</v>
      </c>
      <c r="I40" s="1181">
        <v>12.64</v>
      </c>
      <c r="J40" s="1181" t="s">
        <v>180</v>
      </c>
      <c r="K40" s="1181">
        <v>84</v>
      </c>
      <c r="L40" s="1181" t="s">
        <v>181</v>
      </c>
      <c r="M40" s="1181" t="s">
        <v>182</v>
      </c>
      <c r="N40" s="328"/>
    </row>
    <row r="41" spans="2:14" ht="15" thickBot="1">
      <c r="B41" s="602" t="s">
        <v>150</v>
      </c>
      <c r="C41" s="1016" t="s">
        <v>183</v>
      </c>
      <c r="D41" s="1256"/>
      <c r="E41" s="1011" t="s">
        <v>184</v>
      </c>
      <c r="F41" s="1256"/>
      <c r="G41" s="1682"/>
      <c r="H41" s="1683"/>
      <c r="I41" s="1683"/>
      <c r="J41" s="1683"/>
      <c r="K41" s="1683"/>
      <c r="L41" s="1683"/>
      <c r="M41" s="1683"/>
      <c r="N41" s="328"/>
    </row>
    <row r="42" spans="2:14" ht="15" thickBot="1">
      <c r="B42" s="602" t="s">
        <v>150</v>
      </c>
      <c r="C42" s="1016" t="s">
        <v>185</v>
      </c>
      <c r="D42" s="1256"/>
      <c r="E42" s="1011" t="s">
        <v>186</v>
      </c>
      <c r="F42" s="1256"/>
      <c r="G42" s="1682"/>
      <c r="H42" s="1683"/>
      <c r="I42" s="1683"/>
      <c r="J42" s="1683"/>
      <c r="K42" s="1683"/>
      <c r="L42" s="1683"/>
      <c r="M42" s="1683"/>
      <c r="N42" s="328"/>
    </row>
    <row r="43" spans="2:14" ht="15" thickBot="1">
      <c r="B43" s="602" t="s">
        <v>150</v>
      </c>
      <c r="C43" s="1016" t="s">
        <v>187</v>
      </c>
      <c r="D43" s="1256"/>
      <c r="E43" s="1011" t="s">
        <v>188</v>
      </c>
      <c r="F43" s="1256"/>
      <c r="G43" s="1682"/>
      <c r="H43" s="1683"/>
      <c r="I43" s="1683"/>
      <c r="J43" s="1683"/>
      <c r="K43" s="1683"/>
      <c r="L43" s="1683"/>
      <c r="M43" s="1683"/>
      <c r="N43" s="328"/>
    </row>
    <row r="44" spans="2:14" ht="15" thickBot="1">
      <c r="B44" s="602" t="s">
        <v>150</v>
      </c>
      <c r="C44" s="1016" t="s">
        <v>189</v>
      </c>
      <c r="D44" s="1256"/>
      <c r="E44" s="1011" t="s">
        <v>190</v>
      </c>
      <c r="F44" s="1256"/>
      <c r="G44" s="1682"/>
      <c r="H44" s="1683"/>
      <c r="I44" s="1683"/>
      <c r="J44" s="1683"/>
      <c r="K44" s="1683"/>
      <c r="L44" s="1683"/>
      <c r="M44" s="1683"/>
      <c r="N44" s="328"/>
    </row>
    <row r="45" spans="2:14" ht="15" thickBot="1">
      <c r="B45" s="602" t="s">
        <v>150</v>
      </c>
      <c r="C45" s="1016" t="s">
        <v>191</v>
      </c>
      <c r="D45" s="1256"/>
      <c r="E45" s="1011" t="s">
        <v>192</v>
      </c>
      <c r="F45" s="1256"/>
      <c r="G45" s="1682"/>
      <c r="H45" s="1683"/>
      <c r="I45" s="1683"/>
      <c r="J45" s="1683"/>
      <c r="K45" s="1683"/>
      <c r="L45" s="1683"/>
      <c r="M45" s="1683"/>
      <c r="N45" s="328"/>
    </row>
    <row r="46" spans="2:14" ht="15" thickBot="1">
      <c r="B46" s="602" t="s">
        <v>150</v>
      </c>
      <c r="C46" s="1016" t="s">
        <v>193</v>
      </c>
      <c r="D46" s="1256"/>
      <c r="E46" s="1011" t="s">
        <v>194</v>
      </c>
      <c r="F46" s="1256"/>
      <c r="G46" s="1682"/>
      <c r="H46" s="1683"/>
      <c r="I46" s="1683"/>
      <c r="J46" s="1683"/>
      <c r="K46" s="1683"/>
      <c r="L46" s="1683"/>
      <c r="M46" s="1683"/>
      <c r="N46" s="328"/>
    </row>
    <row r="47" spans="2:14" ht="15" thickBot="1">
      <c r="B47" s="602" t="s">
        <v>150</v>
      </c>
      <c r="C47" s="1018" t="s">
        <v>195</v>
      </c>
      <c r="D47" s="1542"/>
      <c r="E47" s="1012" t="s">
        <v>196</v>
      </c>
      <c r="F47" s="1256"/>
      <c r="G47" s="1684"/>
      <c r="H47" s="1685"/>
      <c r="I47" s="1685"/>
      <c r="J47" s="1685"/>
      <c r="K47" s="1685"/>
      <c r="L47" s="1685"/>
      <c r="M47" s="1685"/>
      <c r="N47" s="328"/>
    </row>
    <row r="48" spans="2:14" ht="15" thickBot="1">
      <c r="B48" s="516"/>
      <c r="C48" s="972"/>
      <c r="D48" s="320"/>
      <c r="E48" s="973"/>
      <c r="F48" s="320"/>
      <c r="G48" s="323"/>
      <c r="H48" s="320"/>
      <c r="I48" s="355"/>
      <c r="J48" s="355"/>
      <c r="K48" s="355"/>
      <c r="L48" s="355"/>
      <c r="M48" s="355"/>
      <c r="N48" s="328"/>
    </row>
    <row r="49" spans="2:14" ht="30.6" customHeight="1" thickBot="1">
      <c r="C49" s="1088" t="s">
        <v>197</v>
      </c>
      <c r="G49" s="549"/>
      <c r="H49" s="1133" t="s">
        <v>101</v>
      </c>
      <c r="I49" s="1675"/>
      <c r="J49" s="1676"/>
      <c r="K49" s="1133" t="s">
        <v>102</v>
      </c>
      <c r="L49" s="1675"/>
      <c r="M49" s="1676"/>
      <c r="N49" s="328"/>
    </row>
    <row r="50" spans="2:14" ht="15" customHeight="1" thickBot="1">
      <c r="C50" s="29" t="s">
        <v>103</v>
      </c>
      <c r="D50" s="31" t="s">
        <v>104</v>
      </c>
      <c r="E50" s="42" t="s">
        <v>105</v>
      </c>
      <c r="F50" s="31" t="s">
        <v>106</v>
      </c>
      <c r="G50" s="32" t="s">
        <v>107</v>
      </c>
      <c r="H50" s="43" t="s">
        <v>108</v>
      </c>
      <c r="I50" s="44" t="s">
        <v>109</v>
      </c>
      <c r="J50" s="55" t="s">
        <v>110</v>
      </c>
      <c r="K50" s="43" t="s">
        <v>111</v>
      </c>
      <c r="L50" s="44" t="s">
        <v>109</v>
      </c>
      <c r="M50" s="55" t="s">
        <v>110</v>
      </c>
      <c r="N50" s="328"/>
    </row>
    <row r="51" spans="2:14" ht="15" thickBot="1">
      <c r="B51" s="602" t="s">
        <v>150</v>
      </c>
      <c r="C51" s="223" t="s">
        <v>198</v>
      </c>
      <c r="D51" s="1118" t="s">
        <v>199</v>
      </c>
      <c r="E51" s="305" t="s">
        <v>200</v>
      </c>
      <c r="F51" s="1118" t="s">
        <v>109</v>
      </c>
      <c r="G51" s="1353">
        <v>4.5</v>
      </c>
      <c r="H51" s="1142">
        <v>24</v>
      </c>
      <c r="I51" s="1114">
        <v>6.5</v>
      </c>
      <c r="J51" s="1195">
        <v>22.92</v>
      </c>
      <c r="K51" s="1117">
        <v>90</v>
      </c>
      <c r="L51" s="1114">
        <v>585</v>
      </c>
      <c r="M51" s="1116" t="s">
        <v>201</v>
      </c>
      <c r="N51" s="328"/>
    </row>
    <row r="52" spans="2:14" ht="15" customHeight="1" thickBot="1">
      <c r="B52" s="602" t="s">
        <v>150</v>
      </c>
      <c r="C52" s="224" t="s">
        <v>202</v>
      </c>
      <c r="D52" s="1119"/>
      <c r="E52" s="241" t="s">
        <v>203</v>
      </c>
      <c r="F52" s="1119"/>
      <c r="G52" s="1686"/>
      <c r="H52" s="1686"/>
      <c r="I52" s="1687"/>
      <c r="J52" s="1688"/>
      <c r="K52" s="1686"/>
      <c r="L52" s="1687"/>
      <c r="M52" s="1689"/>
      <c r="N52" s="328"/>
    </row>
    <row r="53" spans="2:14" ht="15" customHeight="1" thickBot="1">
      <c r="B53" s="602" t="s">
        <v>150</v>
      </c>
      <c r="C53" s="224" t="s">
        <v>204</v>
      </c>
      <c r="D53" s="1119"/>
      <c r="E53" s="241" t="s">
        <v>205</v>
      </c>
      <c r="F53" s="1119"/>
      <c r="G53" s="1686"/>
      <c r="H53" s="1686"/>
      <c r="I53" s="1687"/>
      <c r="J53" s="1688"/>
      <c r="K53" s="1686"/>
      <c r="L53" s="1687"/>
      <c r="M53" s="1689"/>
      <c r="N53" s="328"/>
    </row>
    <row r="54" spans="2:14" ht="15" customHeight="1" thickBot="1">
      <c r="B54" s="602" t="s">
        <v>150</v>
      </c>
      <c r="C54" s="224" t="s">
        <v>206</v>
      </c>
      <c r="D54" s="1119"/>
      <c r="E54" s="241" t="s">
        <v>207</v>
      </c>
      <c r="F54" s="1119"/>
      <c r="G54" s="1686"/>
      <c r="H54" s="1686"/>
      <c r="I54" s="1687"/>
      <c r="J54" s="1688"/>
      <c r="K54" s="1686"/>
      <c r="L54" s="1687"/>
      <c r="M54" s="1689"/>
      <c r="N54" s="328"/>
    </row>
    <row r="55" spans="2:14" ht="15" customHeight="1" thickBot="1">
      <c r="B55" s="602" t="s">
        <v>150</v>
      </c>
      <c r="C55" s="224" t="s">
        <v>208</v>
      </c>
      <c r="D55" s="1119"/>
      <c r="E55" s="241" t="s">
        <v>209</v>
      </c>
      <c r="F55" s="1119"/>
      <c r="G55" s="1686"/>
      <c r="H55" s="1686"/>
      <c r="I55" s="1687"/>
      <c r="J55" s="1688"/>
      <c r="K55" s="1686"/>
      <c r="L55" s="1687"/>
      <c r="M55" s="1689"/>
      <c r="N55" s="328"/>
    </row>
    <row r="56" spans="2:14" ht="15" customHeight="1" thickBot="1">
      <c r="B56" s="602" t="s">
        <v>150</v>
      </c>
      <c r="C56" s="216" t="s">
        <v>210</v>
      </c>
      <c r="D56" s="1120"/>
      <c r="E56" s="262" t="s">
        <v>211</v>
      </c>
      <c r="F56" s="1120"/>
      <c r="G56" s="1690"/>
      <c r="H56" s="1691"/>
      <c r="I56" s="1692"/>
      <c r="J56" s="1693"/>
      <c r="K56" s="1690"/>
      <c r="L56" s="1692"/>
      <c r="M56" s="1694"/>
      <c r="N56" s="328"/>
    </row>
    <row r="57" spans="2:14" ht="15" customHeight="1" thickBot="1">
      <c r="B57" s="516"/>
      <c r="C57" s="972"/>
      <c r="D57" s="320"/>
      <c r="E57" s="973"/>
      <c r="F57" s="320"/>
      <c r="G57" s="323"/>
      <c r="H57" s="320"/>
      <c r="I57" s="355"/>
      <c r="J57" s="355"/>
      <c r="K57" s="355"/>
      <c r="L57" s="355"/>
      <c r="M57" s="355"/>
      <c r="N57" s="328"/>
    </row>
    <row r="58" spans="2:14" ht="31.7" customHeight="1" thickBot="1">
      <c r="B58" s="25"/>
      <c r="C58" s="1084" t="s">
        <v>212</v>
      </c>
      <c r="D58" s="230"/>
      <c r="G58" s="549"/>
      <c r="H58" s="1349" t="s">
        <v>101</v>
      </c>
      <c r="I58" s="1675"/>
      <c r="J58" s="1675"/>
      <c r="K58" s="1508" t="s">
        <v>102</v>
      </c>
      <c r="L58" s="1695"/>
      <c r="M58" s="1696"/>
      <c r="N58" s="26"/>
    </row>
    <row r="59" spans="2:14" ht="15" customHeight="1" thickBot="1">
      <c r="C59" s="28" t="s">
        <v>103</v>
      </c>
      <c r="D59" s="231" t="s">
        <v>104</v>
      </c>
      <c r="E59" s="42" t="s">
        <v>105</v>
      </c>
      <c r="F59" s="31" t="s">
        <v>106</v>
      </c>
      <c r="G59" s="32" t="s">
        <v>107</v>
      </c>
      <c r="H59" s="43" t="s">
        <v>108</v>
      </c>
      <c r="I59" s="44" t="s">
        <v>109</v>
      </c>
      <c r="J59" s="45" t="s">
        <v>110</v>
      </c>
      <c r="K59" s="46" t="s">
        <v>111</v>
      </c>
      <c r="L59" s="44" t="s">
        <v>109</v>
      </c>
      <c r="M59" s="47" t="s">
        <v>110</v>
      </c>
      <c r="N59" s="37"/>
    </row>
    <row r="60" spans="2:14" ht="15" thickBot="1">
      <c r="B60" s="21" t="s">
        <v>213</v>
      </c>
      <c r="C60" s="258" t="s">
        <v>214</v>
      </c>
      <c r="D60" s="1259" t="s">
        <v>178</v>
      </c>
      <c r="E60" s="48" t="s">
        <v>215</v>
      </c>
      <c r="F60" s="1118" t="s">
        <v>109</v>
      </c>
      <c r="G60" s="1170">
        <v>3.12</v>
      </c>
      <c r="H60" s="1117">
        <v>50</v>
      </c>
      <c r="I60" s="1128">
        <v>12.64</v>
      </c>
      <c r="J60" s="1500">
        <v>27.7</v>
      </c>
      <c r="K60" s="1507">
        <v>84</v>
      </c>
      <c r="L60" s="1509">
        <v>1061.76</v>
      </c>
      <c r="M60" s="1206">
        <v>3454.35</v>
      </c>
      <c r="N60" s="328"/>
    </row>
    <row r="61" spans="2:14">
      <c r="B61" s="51"/>
      <c r="C61" s="259" t="s">
        <v>216</v>
      </c>
      <c r="D61" s="1260"/>
      <c r="E61" s="49" t="s">
        <v>217</v>
      </c>
      <c r="F61" s="1119"/>
      <c r="G61" s="1697"/>
      <c r="H61" s="1686"/>
      <c r="I61" s="1686"/>
      <c r="J61" s="1688"/>
      <c r="K61" s="1698"/>
      <c r="L61" s="1687"/>
      <c r="M61" s="1699"/>
      <c r="N61" s="328"/>
    </row>
    <row r="62" spans="2:14">
      <c r="B62" s="51"/>
      <c r="C62" s="259" t="s">
        <v>218</v>
      </c>
      <c r="D62" s="1260"/>
      <c r="E62" s="49" t="s">
        <v>219</v>
      </c>
      <c r="F62" s="1119"/>
      <c r="G62" s="1697"/>
      <c r="H62" s="1686"/>
      <c r="I62" s="1686"/>
      <c r="J62" s="1688"/>
      <c r="K62" s="1698"/>
      <c r="L62" s="1687"/>
      <c r="M62" s="1699"/>
      <c r="N62" s="328"/>
    </row>
    <row r="63" spans="2:14">
      <c r="B63" s="51"/>
      <c r="C63" s="259" t="s">
        <v>220</v>
      </c>
      <c r="D63" s="1260"/>
      <c r="E63" s="49" t="s">
        <v>221</v>
      </c>
      <c r="F63" s="1119"/>
      <c r="G63" s="1697"/>
      <c r="H63" s="1686"/>
      <c r="I63" s="1686"/>
      <c r="J63" s="1688"/>
      <c r="K63" s="1698"/>
      <c r="L63" s="1687"/>
      <c r="M63" s="1699"/>
      <c r="N63" s="328"/>
    </row>
    <row r="64" spans="2:14">
      <c r="B64" s="51"/>
      <c r="C64" s="259" t="s">
        <v>222</v>
      </c>
      <c r="D64" s="1260"/>
      <c r="E64" s="49" t="s">
        <v>223</v>
      </c>
      <c r="F64" s="1119"/>
      <c r="G64" s="1697"/>
      <c r="H64" s="1686"/>
      <c r="I64" s="1686"/>
      <c r="J64" s="1688"/>
      <c r="K64" s="1698"/>
      <c r="L64" s="1687"/>
      <c r="M64" s="1699"/>
      <c r="N64" s="328"/>
    </row>
    <row r="65" spans="2:14" ht="15.75" customHeight="1" thickBot="1">
      <c r="B65" s="51"/>
      <c r="C65" s="260" t="s">
        <v>224</v>
      </c>
      <c r="D65" s="1261"/>
      <c r="E65" s="50" t="s">
        <v>225</v>
      </c>
      <c r="F65" s="1120"/>
      <c r="G65" s="1700"/>
      <c r="H65" s="1690"/>
      <c r="I65" s="1690"/>
      <c r="J65" s="1701"/>
      <c r="K65" s="1702"/>
      <c r="L65" s="1703"/>
      <c r="M65" s="1704"/>
      <c r="N65" s="328"/>
    </row>
    <row r="66" spans="2:14" ht="15" thickBot="1">
      <c r="B66" s="51"/>
      <c r="C66" s="258" t="s">
        <v>226</v>
      </c>
      <c r="D66" s="1259" t="s">
        <v>227</v>
      </c>
      <c r="E66" s="48" t="s">
        <v>228</v>
      </c>
      <c r="F66" s="1118" t="s">
        <v>108</v>
      </c>
      <c r="G66" s="1170">
        <v>4.32</v>
      </c>
      <c r="H66" s="1117">
        <v>50</v>
      </c>
      <c r="I66" s="1128">
        <v>12.64</v>
      </c>
      <c r="J66" s="1500">
        <v>41.12</v>
      </c>
      <c r="K66" s="1507">
        <v>84</v>
      </c>
      <c r="L66" s="1509">
        <v>1061.76</v>
      </c>
      <c r="M66" s="1206">
        <v>3454.35</v>
      </c>
      <c r="N66" s="328"/>
    </row>
    <row r="67" spans="2:14">
      <c r="B67" s="51"/>
      <c r="C67" s="259" t="s">
        <v>229</v>
      </c>
      <c r="D67" s="1260"/>
      <c r="E67" s="49" t="s">
        <v>230</v>
      </c>
      <c r="F67" s="1119"/>
      <c r="G67" s="1697"/>
      <c r="H67" s="1686"/>
      <c r="I67" s="1686"/>
      <c r="J67" s="1688"/>
      <c r="K67" s="1698"/>
      <c r="L67" s="1687"/>
      <c r="M67" s="1699"/>
      <c r="N67" s="328"/>
    </row>
    <row r="68" spans="2:14">
      <c r="B68" s="51"/>
      <c r="C68" s="259" t="s">
        <v>231</v>
      </c>
      <c r="D68" s="1260"/>
      <c r="E68" s="49" t="s">
        <v>232</v>
      </c>
      <c r="F68" s="1119"/>
      <c r="G68" s="1697"/>
      <c r="H68" s="1686"/>
      <c r="I68" s="1686"/>
      <c r="J68" s="1688"/>
      <c r="K68" s="1698"/>
      <c r="L68" s="1687"/>
      <c r="M68" s="1699"/>
      <c r="N68" s="328"/>
    </row>
    <row r="69" spans="2:14">
      <c r="B69" s="51"/>
      <c r="C69" s="259" t="s">
        <v>233</v>
      </c>
      <c r="D69" s="1260"/>
      <c r="E69" s="49" t="s">
        <v>234</v>
      </c>
      <c r="F69" s="1119"/>
      <c r="G69" s="1697"/>
      <c r="H69" s="1686"/>
      <c r="I69" s="1686"/>
      <c r="J69" s="1688"/>
      <c r="K69" s="1698"/>
      <c r="L69" s="1687"/>
      <c r="M69" s="1699"/>
      <c r="N69" s="328"/>
    </row>
    <row r="70" spans="2:14">
      <c r="B70" s="51"/>
      <c r="C70" s="259" t="s">
        <v>235</v>
      </c>
      <c r="D70" s="1260"/>
      <c r="E70" s="49" t="s">
        <v>236</v>
      </c>
      <c r="F70" s="1119"/>
      <c r="G70" s="1697"/>
      <c r="H70" s="1686"/>
      <c r="I70" s="1686"/>
      <c r="J70" s="1688"/>
      <c r="K70" s="1698"/>
      <c r="L70" s="1687"/>
      <c r="M70" s="1699"/>
      <c r="N70" s="328"/>
    </row>
    <row r="71" spans="2:14" ht="15.75" customHeight="1" thickBot="1">
      <c r="B71" s="51"/>
      <c r="C71" s="260" t="s">
        <v>237</v>
      </c>
      <c r="D71" s="1261"/>
      <c r="E71" s="50" t="s">
        <v>238</v>
      </c>
      <c r="F71" s="1120"/>
      <c r="G71" s="1700"/>
      <c r="H71" s="1690"/>
      <c r="I71" s="1690"/>
      <c r="J71" s="1701"/>
      <c r="K71" s="1702"/>
      <c r="L71" s="1703"/>
      <c r="M71" s="1704"/>
      <c r="N71" s="328"/>
    </row>
    <row r="72" spans="2:14">
      <c r="B72" s="51"/>
      <c r="D72" s="243"/>
      <c r="E72" s="242"/>
      <c r="F72" s="243"/>
      <c r="G72" s="243"/>
      <c r="H72" s="243"/>
      <c r="I72" s="328"/>
      <c r="J72" s="328"/>
      <c r="K72" s="243"/>
      <c r="L72" s="328"/>
      <c r="M72" s="328"/>
      <c r="N72" s="328"/>
    </row>
    <row r="73" spans="2:14" s="24" customFormat="1" ht="15" customHeight="1" thickBot="1">
      <c r="B73" s="21"/>
      <c r="C73" s="242"/>
      <c r="D73" s="243"/>
      <c r="E73" s="242"/>
      <c r="F73" s="243"/>
      <c r="G73" s="550"/>
      <c r="H73" s="242"/>
      <c r="I73" s="243"/>
      <c r="J73" s="242"/>
      <c r="K73" s="243"/>
      <c r="L73" s="242"/>
      <c r="M73" s="243"/>
      <c r="N73" s="243"/>
    </row>
    <row r="74" spans="2:14" s="24" customFormat="1" ht="32.1" customHeight="1" thickBot="1">
      <c r="B74" s="25"/>
      <c r="C74" s="1084" t="s">
        <v>239</v>
      </c>
      <c r="D74" s="22"/>
      <c r="E74" s="20"/>
      <c r="F74" s="22"/>
      <c r="G74" s="549"/>
      <c r="H74" s="1349" t="s">
        <v>101</v>
      </c>
      <c r="I74" s="1675"/>
      <c r="J74" s="1675"/>
      <c r="K74" s="1133" t="s">
        <v>102</v>
      </c>
      <c r="L74" s="1675"/>
      <c r="M74" s="1676"/>
      <c r="N74" s="26"/>
    </row>
    <row r="75" spans="2:14" s="24" customFormat="1" ht="15" customHeight="1" thickBot="1">
      <c r="B75" s="25"/>
      <c r="C75" s="27" t="s">
        <v>103</v>
      </c>
      <c r="D75" s="31" t="s">
        <v>104</v>
      </c>
      <c r="E75" s="30" t="s">
        <v>105</v>
      </c>
      <c r="F75" s="31" t="s">
        <v>106</v>
      </c>
      <c r="G75" s="32" t="s">
        <v>107</v>
      </c>
      <c r="H75" s="43" t="s">
        <v>108</v>
      </c>
      <c r="I75" s="44" t="s">
        <v>109</v>
      </c>
      <c r="J75" s="45" t="s">
        <v>110</v>
      </c>
      <c r="K75" s="43" t="s">
        <v>111</v>
      </c>
      <c r="L75" s="44" t="s">
        <v>109</v>
      </c>
      <c r="M75" s="55" t="s">
        <v>110</v>
      </c>
      <c r="N75" s="37"/>
    </row>
    <row r="76" spans="2:14" s="24" customFormat="1" ht="15" thickBot="1">
      <c r="B76" s="512" t="s">
        <v>213</v>
      </c>
      <c r="C76" s="889" t="s">
        <v>240</v>
      </c>
      <c r="D76" s="1502" t="s">
        <v>241</v>
      </c>
      <c r="E76" s="278" t="s">
        <v>242</v>
      </c>
      <c r="F76" s="1118" t="s">
        <v>109</v>
      </c>
      <c r="G76" s="1170">
        <v>3.3</v>
      </c>
      <c r="H76" s="1551">
        <v>32</v>
      </c>
      <c r="I76" s="1477">
        <v>11.51</v>
      </c>
      <c r="J76" s="1477">
        <v>36.69</v>
      </c>
      <c r="K76" s="1551">
        <v>75</v>
      </c>
      <c r="L76" s="1477">
        <v>863.5</v>
      </c>
      <c r="M76" s="1477">
        <v>2212.8000000000002</v>
      </c>
      <c r="N76" s="328"/>
    </row>
    <row r="77" spans="2:14" s="24" customFormat="1">
      <c r="B77" s="25"/>
      <c r="C77" s="890" t="s">
        <v>243</v>
      </c>
      <c r="D77" s="1503"/>
      <c r="E77" s="895" t="s">
        <v>244</v>
      </c>
      <c r="F77" s="1119"/>
      <c r="G77" s="1697"/>
      <c r="H77" s="1697"/>
      <c r="I77" s="1697"/>
      <c r="J77" s="1697"/>
      <c r="K77" s="1697"/>
      <c r="L77" s="1697"/>
      <c r="M77" s="1697"/>
      <c r="N77" s="328"/>
    </row>
    <row r="78" spans="2:14" s="24" customFormat="1" ht="15" thickBot="1">
      <c r="B78" s="25"/>
      <c r="C78" s="896" t="s">
        <v>245</v>
      </c>
      <c r="D78" s="1504"/>
      <c r="E78" s="283" t="s">
        <v>246</v>
      </c>
      <c r="F78" s="1120"/>
      <c r="G78" s="1700"/>
      <c r="H78" s="1700"/>
      <c r="I78" s="1700"/>
      <c r="J78" s="1700"/>
      <c r="K78" s="1700"/>
      <c r="L78" s="1700"/>
      <c r="M78" s="1700"/>
      <c r="N78" s="328"/>
    </row>
    <row r="79" spans="2:14" ht="15.75" customHeight="1">
      <c r="B79" s="25"/>
      <c r="C79" s="420" t="s">
        <v>247</v>
      </c>
      <c r="D79" s="263"/>
      <c r="E79" s="421"/>
      <c r="F79" s="243"/>
      <c r="G79" s="323"/>
      <c r="H79" s="243"/>
      <c r="I79" s="328"/>
      <c r="J79" s="328"/>
      <c r="K79" s="243"/>
      <c r="L79" s="328"/>
      <c r="M79" s="328"/>
      <c r="N79" s="328"/>
    </row>
    <row r="80" spans="2:14" ht="15.75" customHeight="1" thickBot="1">
      <c r="B80" s="25"/>
      <c r="C80" s="420"/>
      <c r="D80" s="263"/>
      <c r="E80" s="421"/>
      <c r="F80" s="243"/>
      <c r="G80" s="323"/>
      <c r="H80" s="243"/>
      <c r="I80" s="328"/>
      <c r="J80" s="328"/>
      <c r="K80" s="243"/>
      <c r="L80" s="328"/>
      <c r="M80" s="328"/>
      <c r="N80" s="328"/>
    </row>
    <row r="81" spans="2:14" ht="32.1" customHeight="1" thickBot="1">
      <c r="B81" s="25"/>
      <c r="C81" s="1561" t="s">
        <v>248</v>
      </c>
      <c r="D81" s="1561"/>
      <c r="E81" s="1561"/>
      <c r="G81" s="549"/>
      <c r="H81" s="1133" t="s">
        <v>101</v>
      </c>
      <c r="I81" s="1675"/>
      <c r="J81" s="1676"/>
      <c r="K81" s="1133" t="s">
        <v>102</v>
      </c>
      <c r="L81" s="1675"/>
      <c r="M81" s="1676"/>
      <c r="N81" s="26"/>
    </row>
    <row r="82" spans="2:14" ht="15" customHeight="1">
      <c r="B82" s="25"/>
      <c r="C82" s="29" t="s">
        <v>103</v>
      </c>
      <c r="D82" s="31" t="s">
        <v>104</v>
      </c>
      <c r="E82" s="42" t="s">
        <v>105</v>
      </c>
      <c r="F82" s="31" t="s">
        <v>106</v>
      </c>
      <c r="G82" s="32" t="s">
        <v>107</v>
      </c>
      <c r="H82" s="43" t="s">
        <v>108</v>
      </c>
      <c r="I82" s="44" t="s">
        <v>109</v>
      </c>
      <c r="J82" s="55" t="s">
        <v>110</v>
      </c>
      <c r="K82" s="43" t="s">
        <v>111</v>
      </c>
      <c r="L82" s="44" t="s">
        <v>109</v>
      </c>
      <c r="M82" s="55" t="s">
        <v>110</v>
      </c>
      <c r="N82" s="37"/>
    </row>
    <row r="83" spans="2:14" ht="15" customHeight="1">
      <c r="B83" s="25"/>
      <c r="C83" s="250" t="s">
        <v>249</v>
      </c>
      <c r="D83" s="1118" t="s">
        <v>250</v>
      </c>
      <c r="E83" s="240" t="s">
        <v>251</v>
      </c>
      <c r="F83" s="1118" t="s">
        <v>108</v>
      </c>
      <c r="G83" s="1179">
        <v>10</v>
      </c>
      <c r="H83" s="1142">
        <v>8</v>
      </c>
      <c r="I83" s="1238">
        <v>7.75</v>
      </c>
      <c r="J83" s="1195">
        <v>30.94</v>
      </c>
      <c r="K83" s="1241">
        <v>60</v>
      </c>
      <c r="L83" s="1171">
        <v>465</v>
      </c>
      <c r="M83" s="1150">
        <v>1856.16</v>
      </c>
      <c r="N83" s="37"/>
    </row>
    <row r="84" spans="2:14" ht="15" customHeight="1">
      <c r="B84" s="25"/>
      <c r="C84" s="250" t="s">
        <v>252</v>
      </c>
      <c r="D84" s="1120"/>
      <c r="E84" s="240" t="s">
        <v>253</v>
      </c>
      <c r="F84" s="1120"/>
      <c r="G84" s="1180"/>
      <c r="H84" s="1237"/>
      <c r="I84" s="1239"/>
      <c r="J84" s="1240"/>
      <c r="K84" s="1242"/>
      <c r="L84" s="1172"/>
      <c r="M84" s="1243"/>
      <c r="N84" s="37"/>
    </row>
    <row r="85" spans="2:14" ht="16.350000000000001" customHeight="1">
      <c r="B85" s="512" t="s">
        <v>112</v>
      </c>
      <c r="C85" s="250" t="s">
        <v>254</v>
      </c>
      <c r="D85" s="1118" t="s">
        <v>114</v>
      </c>
      <c r="E85" s="240" t="s">
        <v>255</v>
      </c>
      <c r="F85" s="1118" t="s">
        <v>109</v>
      </c>
      <c r="G85" s="1170">
        <v>3.18</v>
      </c>
      <c r="H85" s="1142">
        <v>6</v>
      </c>
      <c r="I85" s="1128">
        <v>11.63</v>
      </c>
      <c r="J85" s="1195">
        <v>48.5</v>
      </c>
      <c r="K85" s="1117">
        <v>48</v>
      </c>
      <c r="L85" s="1176">
        <f>I85*48</f>
        <v>558.24</v>
      </c>
      <c r="M85" s="1116">
        <v>2327.9</v>
      </c>
      <c r="N85" s="328"/>
    </row>
    <row r="86" spans="2:14" ht="16.350000000000001" customHeight="1" thickBot="1">
      <c r="B86" s="25"/>
      <c r="C86" s="252" t="s">
        <v>256</v>
      </c>
      <c r="D86" s="1120"/>
      <c r="E86" s="266" t="s">
        <v>257</v>
      </c>
      <c r="F86" s="1119"/>
      <c r="G86" s="1700"/>
      <c r="H86" s="1691"/>
      <c r="I86" s="1690"/>
      <c r="J86" s="1693"/>
      <c r="K86" s="1690"/>
      <c r="L86" s="1692"/>
      <c r="M86" s="1694"/>
      <c r="N86" s="328"/>
    </row>
    <row r="87" spans="2:14" ht="16.350000000000001" customHeight="1" thickBot="1">
      <c r="B87" s="25"/>
      <c r="C87" s="250" t="s">
        <v>258</v>
      </c>
      <c r="D87" s="1118" t="s">
        <v>259</v>
      </c>
      <c r="E87" s="240" t="s">
        <v>260</v>
      </c>
      <c r="F87" s="1119"/>
      <c r="G87" s="1170">
        <v>3.18</v>
      </c>
      <c r="H87" s="1142">
        <v>3</v>
      </c>
      <c r="I87" s="1114">
        <v>11.63</v>
      </c>
      <c r="J87" s="1249">
        <v>49.598999999999997</v>
      </c>
      <c r="K87" s="1251">
        <v>40</v>
      </c>
      <c r="L87" s="1114">
        <f>K87*I87</f>
        <v>465.20000000000005</v>
      </c>
      <c r="M87" s="1116">
        <f>K87*J87</f>
        <v>1983.9599999999998</v>
      </c>
      <c r="N87" s="328"/>
    </row>
    <row r="88" spans="2:14" ht="16.350000000000001" customHeight="1" thickBot="1">
      <c r="B88" s="25"/>
      <c r="C88" s="252" t="s">
        <v>261</v>
      </c>
      <c r="D88" s="1120"/>
      <c r="E88" s="266" t="s">
        <v>262</v>
      </c>
      <c r="F88" s="1119"/>
      <c r="G88" s="1700"/>
      <c r="H88" s="1691"/>
      <c r="I88" s="1692"/>
      <c r="J88" s="1705"/>
      <c r="K88" s="1706"/>
      <c r="L88" s="1692"/>
      <c r="M88" s="1694"/>
      <c r="N88" s="328"/>
    </row>
    <row r="89" spans="2:14" ht="16.350000000000001" customHeight="1" thickBot="1">
      <c r="B89" s="25"/>
      <c r="C89" s="288" t="s">
        <v>263</v>
      </c>
      <c r="D89" s="1118" t="s">
        <v>119</v>
      </c>
      <c r="E89" s="240" t="s">
        <v>264</v>
      </c>
      <c r="F89" s="1119"/>
      <c r="G89" s="1170">
        <v>3.96</v>
      </c>
      <c r="H89" s="1142">
        <v>2</v>
      </c>
      <c r="I89" s="1114">
        <v>15.5</v>
      </c>
      <c r="J89" s="1249">
        <v>68.34</v>
      </c>
      <c r="K89" s="1251">
        <v>35</v>
      </c>
      <c r="L89" s="1114">
        <f>K89*I89</f>
        <v>542.5</v>
      </c>
      <c r="M89" s="1116">
        <v>2391.9699999999998</v>
      </c>
      <c r="N89" s="328"/>
    </row>
    <row r="90" spans="2:14" ht="16.350000000000001" customHeight="1" thickBot="1">
      <c r="B90" s="25"/>
      <c r="C90" s="252" t="s">
        <v>265</v>
      </c>
      <c r="D90" s="1120"/>
      <c r="E90" s="1" t="s">
        <v>266</v>
      </c>
      <c r="F90" s="1119"/>
      <c r="G90" s="1700"/>
      <c r="H90" s="1691"/>
      <c r="I90" s="1692"/>
      <c r="J90" s="1705"/>
      <c r="K90" s="1706"/>
      <c r="L90" s="1692"/>
      <c r="M90" s="1694"/>
      <c r="N90" s="328"/>
    </row>
    <row r="91" spans="2:14" ht="16.350000000000001" customHeight="1" thickBot="1">
      <c r="B91" s="25"/>
      <c r="C91" s="265" t="s">
        <v>267</v>
      </c>
      <c r="D91" s="1118" t="s">
        <v>268</v>
      </c>
      <c r="E91" s="240" t="s">
        <v>269</v>
      </c>
      <c r="F91" s="1119"/>
      <c r="G91" s="1170">
        <v>4.9800000000000004</v>
      </c>
      <c r="H91" s="1142">
        <v>1</v>
      </c>
      <c r="I91" s="1114">
        <v>15.5</v>
      </c>
      <c r="J91" s="1249">
        <v>63.91</v>
      </c>
      <c r="K91" s="1251">
        <v>42</v>
      </c>
      <c r="L91" s="1114">
        <f>K91*I91</f>
        <v>651</v>
      </c>
      <c r="M91" s="1116">
        <v>2684.22</v>
      </c>
      <c r="N91" s="328"/>
    </row>
    <row r="92" spans="2:14" ht="16.350000000000001" customHeight="1" thickBot="1">
      <c r="B92" s="25"/>
      <c r="C92" s="439" t="s">
        <v>270</v>
      </c>
      <c r="D92" s="1120"/>
      <c r="E92" s="1" t="s">
        <v>271</v>
      </c>
      <c r="F92" s="1119"/>
      <c r="G92" s="1700"/>
      <c r="H92" s="1691"/>
      <c r="I92" s="1692"/>
      <c r="J92" s="1705"/>
      <c r="K92" s="1706"/>
      <c r="L92" s="1692"/>
      <c r="M92" s="1694"/>
      <c r="N92" s="328"/>
    </row>
    <row r="93" spans="2:14" ht="16.350000000000001" customHeight="1" thickBot="1">
      <c r="B93" s="20"/>
      <c r="C93" s="265" t="s">
        <v>272</v>
      </c>
      <c r="D93" s="1118" t="s">
        <v>273</v>
      </c>
      <c r="E93" s="240" t="s">
        <v>274</v>
      </c>
      <c r="F93" s="1119"/>
      <c r="G93" s="1170">
        <v>5.4</v>
      </c>
      <c r="H93" s="1117">
        <v>1</v>
      </c>
      <c r="I93" s="1128">
        <v>5.8125</v>
      </c>
      <c r="J93" s="1116">
        <v>55.116</v>
      </c>
      <c r="K93" s="1117">
        <v>40</v>
      </c>
      <c r="L93" s="1114">
        <v>232.5</v>
      </c>
      <c r="M93" s="1116">
        <v>2204.64</v>
      </c>
      <c r="N93" s="328"/>
    </row>
    <row r="94" spans="2:14" ht="16.350000000000001" customHeight="1" thickBot="1">
      <c r="B94" s="20"/>
      <c r="C94" s="439" t="s">
        <v>275</v>
      </c>
      <c r="D94" s="1120"/>
      <c r="E94" s="1" t="s">
        <v>276</v>
      </c>
      <c r="F94" s="1119"/>
      <c r="G94" s="1700"/>
      <c r="H94" s="1690"/>
      <c r="I94" s="1690"/>
      <c r="J94" s="1694"/>
      <c r="K94" s="1690"/>
      <c r="L94" s="1692"/>
      <c r="M94" s="1694"/>
      <c r="N94" s="328"/>
    </row>
    <row r="95" spans="2:14" ht="15" thickBot="1">
      <c r="B95" s="512" t="s">
        <v>213</v>
      </c>
      <c r="C95" s="250" t="s">
        <v>277</v>
      </c>
      <c r="D95" s="1118" t="s">
        <v>278</v>
      </c>
      <c r="E95" s="240" t="s">
        <v>279</v>
      </c>
      <c r="F95" s="1119"/>
      <c r="G95" s="1170">
        <v>3.6</v>
      </c>
      <c r="H95" s="1117">
        <v>4</v>
      </c>
      <c r="I95" s="1128">
        <f>1.08*10.764</f>
        <v>11.625120000000001</v>
      </c>
      <c r="J95" s="1116">
        <v>45.185000000000002</v>
      </c>
      <c r="K95" s="1117">
        <v>48</v>
      </c>
      <c r="L95" s="1114">
        <f>I95*K95</f>
        <v>558.00576000000001</v>
      </c>
      <c r="M95" s="1116">
        <f>J95*K95</f>
        <v>2168.88</v>
      </c>
      <c r="N95" s="328"/>
    </row>
    <row r="96" spans="2:14" ht="16.350000000000001" customHeight="1" thickBot="1">
      <c r="B96" s="25"/>
      <c r="C96" s="252" t="s">
        <v>280</v>
      </c>
      <c r="D96" s="1120"/>
      <c r="E96" s="1" t="s">
        <v>281</v>
      </c>
      <c r="F96" s="1120"/>
      <c r="G96" s="1700"/>
      <c r="H96" s="1690"/>
      <c r="I96" s="1690"/>
      <c r="J96" s="1694"/>
      <c r="K96" s="1690"/>
      <c r="L96" s="1692"/>
      <c r="M96" s="1694"/>
      <c r="N96" s="328"/>
    </row>
    <row r="97" spans="2:14" ht="15.75" customHeight="1" thickBot="1">
      <c r="B97" s="25"/>
      <c r="C97" s="62"/>
      <c r="D97" s="263"/>
      <c r="E97" s="421"/>
      <c r="F97" s="243"/>
      <c r="G97" s="323"/>
      <c r="H97" s="243"/>
      <c r="I97" s="328"/>
      <c r="J97" s="328"/>
      <c r="K97" s="243"/>
      <c r="L97" s="328"/>
      <c r="M97" s="328"/>
      <c r="N97" s="328"/>
    </row>
    <row r="98" spans="2:14" ht="32.1" customHeight="1" thickBot="1">
      <c r="B98" s="25"/>
      <c r="C98" s="1561" t="s">
        <v>282</v>
      </c>
      <c r="D98" s="1561"/>
      <c r="E98" s="1561"/>
      <c r="G98" s="549"/>
      <c r="H98" s="1133" t="s">
        <v>101</v>
      </c>
      <c r="I98" s="1675"/>
      <c r="J98" s="1676"/>
      <c r="K98" s="1133" t="s">
        <v>102</v>
      </c>
      <c r="L98" s="1675"/>
      <c r="M98" s="1676"/>
      <c r="N98" s="26"/>
    </row>
    <row r="99" spans="2:14" ht="15" customHeight="1" thickBot="1">
      <c r="B99" s="25"/>
      <c r="C99" s="28" t="s">
        <v>103</v>
      </c>
      <c r="D99" s="31" t="s">
        <v>104</v>
      </c>
      <c r="E99" s="42" t="s">
        <v>105</v>
      </c>
      <c r="F99" s="31" t="s">
        <v>106</v>
      </c>
      <c r="G99" s="32" t="s">
        <v>107</v>
      </c>
      <c r="H99" s="43" t="s">
        <v>108</v>
      </c>
      <c r="I99" s="44" t="s">
        <v>109</v>
      </c>
      <c r="J99" s="55" t="s">
        <v>110</v>
      </c>
      <c r="K99" s="43" t="s">
        <v>111</v>
      </c>
      <c r="L99" s="44" t="s">
        <v>109</v>
      </c>
      <c r="M99" s="55" t="s">
        <v>110</v>
      </c>
      <c r="N99" s="37"/>
    </row>
    <row r="100" spans="2:14" ht="15" thickBot="1">
      <c r="B100" s="512" t="s">
        <v>112</v>
      </c>
      <c r="C100" s="288" t="s">
        <v>283</v>
      </c>
      <c r="D100" s="1118" t="s">
        <v>284</v>
      </c>
      <c r="E100" s="240" t="s">
        <v>285</v>
      </c>
      <c r="F100" s="1118" t="s">
        <v>109</v>
      </c>
      <c r="G100" s="1170">
        <v>1.8</v>
      </c>
      <c r="H100" s="1142">
        <v>7</v>
      </c>
      <c r="I100" s="1128">
        <v>22.297999999999998</v>
      </c>
      <c r="J100" s="1195">
        <f>M100/K100</f>
        <v>87.549166666666665</v>
      </c>
      <c r="K100" s="1117">
        <v>24</v>
      </c>
      <c r="L100" s="1114">
        <f>K100*I100</f>
        <v>535.15199999999993</v>
      </c>
      <c r="M100" s="1116">
        <v>2101.1799999999998</v>
      </c>
      <c r="N100" s="328"/>
    </row>
    <row r="101" spans="2:14" ht="16.350000000000001" customHeight="1" thickBot="1">
      <c r="B101" s="25"/>
      <c r="C101" s="252" t="s">
        <v>286</v>
      </c>
      <c r="D101" s="1120"/>
      <c r="E101" s="1" t="s">
        <v>287</v>
      </c>
      <c r="F101" s="1120"/>
      <c r="G101" s="1700"/>
      <c r="H101" s="1691"/>
      <c r="I101" s="1690"/>
      <c r="J101" s="1693"/>
      <c r="K101" s="1690"/>
      <c r="L101" s="1692"/>
      <c r="M101" s="1694"/>
      <c r="N101" s="328"/>
    </row>
    <row r="102" spans="2:14" ht="15" customHeight="1" thickBot="1">
      <c r="B102" s="25"/>
      <c r="C102" s="256"/>
      <c r="D102" s="243"/>
      <c r="E102" s="242"/>
      <c r="F102" s="243"/>
      <c r="G102" s="323"/>
      <c r="H102" s="243"/>
      <c r="I102" s="328"/>
      <c r="J102" s="328"/>
      <c r="K102" s="243"/>
      <c r="L102" s="328"/>
      <c r="M102" s="328"/>
      <c r="N102" s="328"/>
    </row>
    <row r="103" spans="2:14" ht="32.1" customHeight="1" thickBot="1">
      <c r="B103" s="25"/>
      <c r="C103" s="54" t="s">
        <v>288</v>
      </c>
      <c r="D103" s="230"/>
      <c r="G103" s="549"/>
      <c r="H103" s="1133" t="s">
        <v>101</v>
      </c>
      <c r="I103" s="1675"/>
      <c r="J103" s="1676"/>
      <c r="K103" s="1133" t="s">
        <v>102</v>
      </c>
      <c r="L103" s="1675"/>
      <c r="M103" s="1676"/>
      <c r="N103" s="26"/>
    </row>
    <row r="104" spans="2:14" ht="15" customHeight="1" thickBot="1">
      <c r="C104" s="29" t="s">
        <v>103</v>
      </c>
      <c r="D104" s="31" t="s">
        <v>104</v>
      </c>
      <c r="E104" s="42" t="s">
        <v>105</v>
      </c>
      <c r="F104" s="31" t="s">
        <v>106</v>
      </c>
      <c r="G104" s="32" t="s">
        <v>107</v>
      </c>
      <c r="H104" s="43" t="s">
        <v>108</v>
      </c>
      <c r="I104" s="44" t="s">
        <v>109</v>
      </c>
      <c r="J104" s="55" t="s">
        <v>110</v>
      </c>
      <c r="K104" s="43" t="s">
        <v>111</v>
      </c>
      <c r="L104" s="44" t="s">
        <v>109</v>
      </c>
      <c r="M104" s="55" t="s">
        <v>110</v>
      </c>
      <c r="N104" s="37"/>
    </row>
    <row r="105" spans="2:14" ht="16.5" customHeight="1" thickBot="1">
      <c r="B105" s="20"/>
      <c r="C105" s="594" t="s">
        <v>289</v>
      </c>
      <c r="D105" s="1259" t="s">
        <v>114</v>
      </c>
      <c r="E105" s="57" t="s">
        <v>290</v>
      </c>
      <c r="F105" s="1143" t="s">
        <v>109</v>
      </c>
      <c r="G105" s="1170">
        <v>3.18</v>
      </c>
      <c r="H105" s="1511">
        <v>7</v>
      </c>
      <c r="I105" s="1128">
        <v>13.37</v>
      </c>
      <c r="J105" s="1150">
        <v>52.09</v>
      </c>
      <c r="K105" s="1511">
        <v>56</v>
      </c>
      <c r="L105" s="1189">
        <v>748.72</v>
      </c>
      <c r="M105" s="1150">
        <v>2916.87</v>
      </c>
      <c r="N105" s="328"/>
    </row>
    <row r="106" spans="2:14" ht="16.5" customHeight="1">
      <c r="B106" s="20"/>
      <c r="C106" s="593" t="s">
        <v>291</v>
      </c>
      <c r="D106" s="1260"/>
      <c r="E106" s="59" t="s">
        <v>292</v>
      </c>
      <c r="F106" s="1144"/>
      <c r="G106" s="1697"/>
      <c r="H106" s="1686"/>
      <c r="I106" s="1686"/>
      <c r="J106" s="1689"/>
      <c r="K106" s="1686"/>
      <c r="L106" s="1687"/>
      <c r="M106" s="1689"/>
      <c r="N106" s="328"/>
    </row>
    <row r="107" spans="2:14" ht="16.5" customHeight="1" thickBot="1">
      <c r="B107" s="20"/>
      <c r="C107" s="595" t="s">
        <v>293</v>
      </c>
      <c r="D107" s="1261"/>
      <c r="E107" s="61" t="s">
        <v>294</v>
      </c>
      <c r="F107" s="1144"/>
      <c r="G107" s="1700"/>
      <c r="H107" s="1686"/>
      <c r="I107" s="1690"/>
      <c r="J107" s="1689"/>
      <c r="K107" s="1686"/>
      <c r="L107" s="1687"/>
      <c r="M107" s="1689"/>
      <c r="N107" s="328"/>
    </row>
    <row r="108" spans="2:14" ht="16.5" customHeight="1" thickBot="1">
      <c r="B108" s="20"/>
      <c r="C108" s="594" t="s">
        <v>295</v>
      </c>
      <c r="D108" s="1259" t="s">
        <v>119</v>
      </c>
      <c r="E108" s="57" t="s">
        <v>296</v>
      </c>
      <c r="F108" s="1143" t="s">
        <v>109</v>
      </c>
      <c r="G108" s="1170">
        <v>3.96</v>
      </c>
      <c r="H108" s="1511">
        <v>2</v>
      </c>
      <c r="I108" s="1128">
        <v>15.38</v>
      </c>
      <c r="J108" s="1150">
        <v>63.08</v>
      </c>
      <c r="K108" s="1511">
        <v>32</v>
      </c>
      <c r="L108" s="1189">
        <v>492.16</v>
      </c>
      <c r="M108" s="1150">
        <v>2018.62</v>
      </c>
      <c r="N108" s="328"/>
    </row>
    <row r="109" spans="2:14" ht="15.75" customHeight="1">
      <c r="B109" s="20"/>
      <c r="C109" s="593" t="s">
        <v>297</v>
      </c>
      <c r="D109" s="1260"/>
      <c r="E109" s="59" t="s">
        <v>298</v>
      </c>
      <c r="F109" s="1144"/>
      <c r="G109" s="1697"/>
      <c r="H109" s="1686"/>
      <c r="I109" s="1686"/>
      <c r="J109" s="1689"/>
      <c r="K109" s="1686"/>
      <c r="L109" s="1687"/>
      <c r="M109" s="1689"/>
      <c r="N109" s="328"/>
    </row>
    <row r="110" spans="2:14" ht="15.95" customHeight="1" thickBot="1">
      <c r="B110" s="20"/>
      <c r="C110" s="595" t="s">
        <v>299</v>
      </c>
      <c r="D110" s="1261"/>
      <c r="E110" s="61" t="s">
        <v>300</v>
      </c>
      <c r="F110" s="1144"/>
      <c r="G110" s="1700"/>
      <c r="H110" s="1686"/>
      <c r="I110" s="1690"/>
      <c r="J110" s="1689"/>
      <c r="K110" s="1686"/>
      <c r="L110" s="1687"/>
      <c r="M110" s="1689"/>
      <c r="N110" s="328"/>
    </row>
    <row r="111" spans="2:14" ht="15.95" customHeight="1" thickBot="1">
      <c r="B111" s="602" t="s">
        <v>150</v>
      </c>
      <c r="C111" s="966" t="s">
        <v>301</v>
      </c>
      <c r="D111" s="1259" t="s">
        <v>119</v>
      </c>
      <c r="E111" s="57" t="s">
        <v>302</v>
      </c>
      <c r="F111" s="1143" t="s">
        <v>109</v>
      </c>
      <c r="G111" s="1468">
        <v>4.74</v>
      </c>
      <c r="H111" s="1124">
        <v>2</v>
      </c>
      <c r="I111" s="1577">
        <v>15.38</v>
      </c>
      <c r="J111" s="1442">
        <v>80.47</v>
      </c>
      <c r="K111" s="1124">
        <v>20</v>
      </c>
      <c r="L111" s="1526" t="s">
        <v>303</v>
      </c>
      <c r="M111" s="1442" t="s">
        <v>304</v>
      </c>
      <c r="N111" s="328"/>
    </row>
    <row r="112" spans="2:14" ht="15.95" customHeight="1" thickBot="1">
      <c r="B112" s="602" t="s">
        <v>150</v>
      </c>
      <c r="C112" s="966" t="s">
        <v>305</v>
      </c>
      <c r="D112" s="1260"/>
      <c r="E112" s="59" t="s">
        <v>306</v>
      </c>
      <c r="F112" s="1144"/>
      <c r="G112" s="1697"/>
      <c r="H112" s="1686"/>
      <c r="I112" s="1686"/>
      <c r="J112" s="1689"/>
      <c r="K112" s="1686"/>
      <c r="L112" s="1687"/>
      <c r="M112" s="1689"/>
      <c r="N112" s="328"/>
    </row>
    <row r="113" spans="2:14" ht="15.95" customHeight="1" thickBot="1">
      <c r="B113" s="602" t="s">
        <v>150</v>
      </c>
      <c r="C113" s="965" t="s">
        <v>307</v>
      </c>
      <c r="D113" s="1261"/>
      <c r="E113" s="61" t="s">
        <v>308</v>
      </c>
      <c r="F113" s="1506"/>
      <c r="G113" s="1707"/>
      <c r="H113" s="1708"/>
      <c r="I113" s="1708"/>
      <c r="J113" s="1709"/>
      <c r="K113" s="1708"/>
      <c r="L113" s="1710"/>
      <c r="M113" s="1709"/>
      <c r="N113" s="328"/>
    </row>
    <row r="114" spans="2:14" ht="15.95" customHeight="1" thickBot="1">
      <c r="B114" s="20"/>
      <c r="C114" s="594" t="s">
        <v>309</v>
      </c>
      <c r="D114" s="1118" t="s">
        <v>250</v>
      </c>
      <c r="E114" s="57" t="s">
        <v>310</v>
      </c>
      <c r="F114" s="1144" t="s">
        <v>108</v>
      </c>
      <c r="G114" s="1343">
        <v>8.82</v>
      </c>
      <c r="H114" s="1362">
        <v>10</v>
      </c>
      <c r="I114" s="1440">
        <v>9.6199999999999992</v>
      </c>
      <c r="J114" s="1243">
        <f>M114/K114</f>
        <v>36.01</v>
      </c>
      <c r="K114" s="1362">
        <v>36</v>
      </c>
      <c r="L114" s="1332">
        <f>I114*K114</f>
        <v>346.32</v>
      </c>
      <c r="M114" s="1243">
        <v>1296.3599999999999</v>
      </c>
      <c r="N114" s="328"/>
    </row>
    <row r="115" spans="2:14" ht="15.95" customHeight="1">
      <c r="B115" s="20"/>
      <c r="C115" s="593" t="s">
        <v>311</v>
      </c>
      <c r="D115" s="1119"/>
      <c r="E115" s="59" t="s">
        <v>312</v>
      </c>
      <c r="F115" s="1144"/>
      <c r="G115" s="1697"/>
      <c r="H115" s="1686"/>
      <c r="I115" s="1686"/>
      <c r="J115" s="1689"/>
      <c r="K115" s="1686"/>
      <c r="L115" s="1687"/>
      <c r="M115" s="1689"/>
      <c r="N115" s="328"/>
    </row>
    <row r="116" spans="2:14" ht="15.95" customHeight="1" thickBot="1">
      <c r="B116" s="20"/>
      <c r="C116" s="595" t="s">
        <v>313</v>
      </c>
      <c r="D116" s="1120"/>
      <c r="E116" s="61" t="s">
        <v>314</v>
      </c>
      <c r="F116" s="1169"/>
      <c r="G116" s="1700"/>
      <c r="H116" s="1690"/>
      <c r="I116" s="1690"/>
      <c r="J116" s="1694"/>
      <c r="K116" s="1690"/>
      <c r="L116" s="1692"/>
      <c r="M116" s="1694"/>
      <c r="N116" s="328"/>
    </row>
    <row r="117" spans="2:14" ht="15" thickBot="1">
      <c r="C117" s="256"/>
      <c r="D117" s="243"/>
      <c r="E117" s="242"/>
      <c r="F117" s="243"/>
      <c r="G117" s="323"/>
      <c r="H117" s="243"/>
      <c r="I117" s="328"/>
      <c r="J117" s="328"/>
      <c r="K117" s="243"/>
      <c r="L117" s="328"/>
      <c r="M117" s="328"/>
      <c r="N117" s="328"/>
    </row>
    <row r="118" spans="2:14" ht="31.5" customHeight="1" thickBot="1">
      <c r="B118" s="25"/>
      <c r="C118" s="54" t="s">
        <v>315</v>
      </c>
      <c r="D118" s="230"/>
      <c r="G118" s="549"/>
      <c r="H118" s="1133" t="s">
        <v>101</v>
      </c>
      <c r="I118" s="1675"/>
      <c r="J118" s="1676"/>
      <c r="K118" s="1133" t="s">
        <v>102</v>
      </c>
      <c r="L118" s="1675"/>
      <c r="M118" s="1676"/>
      <c r="N118" s="26"/>
    </row>
    <row r="119" spans="2:14" ht="15" customHeight="1" thickBot="1">
      <c r="C119" s="28" t="s">
        <v>103</v>
      </c>
      <c r="D119" s="32" t="s">
        <v>104</v>
      </c>
      <c r="E119" s="30" t="s">
        <v>105</v>
      </c>
      <c r="F119" s="31" t="s">
        <v>106</v>
      </c>
      <c r="G119" s="32" t="s">
        <v>107</v>
      </c>
      <c r="H119" s="43" t="s">
        <v>108</v>
      </c>
      <c r="I119" s="44" t="s">
        <v>109</v>
      </c>
      <c r="J119" s="55" t="s">
        <v>110</v>
      </c>
      <c r="K119" s="43" t="s">
        <v>111</v>
      </c>
      <c r="L119" s="44" t="s">
        <v>109</v>
      </c>
      <c r="M119" s="55" t="s">
        <v>110</v>
      </c>
      <c r="N119" s="37"/>
    </row>
    <row r="120" spans="2:14" ht="16.5" customHeight="1" thickBot="1">
      <c r="B120" s="21" t="s">
        <v>213</v>
      </c>
      <c r="C120" s="56" t="s">
        <v>316</v>
      </c>
      <c r="D120" s="1259" t="s">
        <v>178</v>
      </c>
      <c r="E120" s="57" t="s">
        <v>317</v>
      </c>
      <c r="F120" s="1118" t="s">
        <v>109</v>
      </c>
      <c r="G120" s="1170">
        <v>3.6</v>
      </c>
      <c r="H120" s="1149">
        <v>50</v>
      </c>
      <c r="I120" s="1128">
        <v>12.64</v>
      </c>
      <c r="J120" s="1116">
        <v>27.67</v>
      </c>
      <c r="K120" s="1149">
        <v>78</v>
      </c>
      <c r="L120" s="1114">
        <v>985.92</v>
      </c>
      <c r="M120" s="1116">
        <v>2158.2600000000002</v>
      </c>
      <c r="N120" s="328"/>
    </row>
    <row r="121" spans="2:14" ht="16.5" customHeight="1">
      <c r="B121" s="51"/>
      <c r="C121" s="58" t="s">
        <v>318</v>
      </c>
      <c r="D121" s="1260"/>
      <c r="E121" s="59" t="s">
        <v>319</v>
      </c>
      <c r="F121" s="1119"/>
      <c r="G121" s="1697"/>
      <c r="H121" s="1686"/>
      <c r="I121" s="1686"/>
      <c r="J121" s="1689"/>
      <c r="K121" s="1686"/>
      <c r="L121" s="1687"/>
      <c r="M121" s="1689"/>
      <c r="N121" s="328"/>
    </row>
    <row r="122" spans="2:14" ht="16.5" customHeight="1">
      <c r="B122" s="51"/>
      <c r="C122" s="58" t="s">
        <v>320</v>
      </c>
      <c r="D122" s="1260"/>
      <c r="E122" s="59" t="s">
        <v>321</v>
      </c>
      <c r="F122" s="1119"/>
      <c r="G122" s="1697"/>
      <c r="H122" s="1686"/>
      <c r="I122" s="1686"/>
      <c r="J122" s="1689"/>
      <c r="K122" s="1686"/>
      <c r="L122" s="1687"/>
      <c r="M122" s="1689"/>
      <c r="N122" s="328"/>
    </row>
    <row r="123" spans="2:14" ht="16.5" customHeight="1">
      <c r="B123" s="51"/>
      <c r="C123" s="58" t="s">
        <v>322</v>
      </c>
      <c r="D123" s="1260"/>
      <c r="E123" s="59" t="s">
        <v>323</v>
      </c>
      <c r="F123" s="1119"/>
      <c r="G123" s="1697"/>
      <c r="H123" s="1686"/>
      <c r="I123" s="1686"/>
      <c r="J123" s="1689"/>
      <c r="K123" s="1686"/>
      <c r="L123" s="1687"/>
      <c r="M123" s="1689"/>
      <c r="N123" s="328"/>
    </row>
    <row r="124" spans="2:14" ht="15.75" customHeight="1" thickBot="1">
      <c r="C124" s="60" t="s">
        <v>324</v>
      </c>
      <c r="D124" s="1261"/>
      <c r="E124" s="61" t="s">
        <v>325</v>
      </c>
      <c r="F124" s="1120"/>
      <c r="G124" s="1700"/>
      <c r="H124" s="1690"/>
      <c r="I124" s="1690"/>
      <c r="J124" s="1694"/>
      <c r="K124" s="1690"/>
      <c r="L124" s="1692"/>
      <c r="M124" s="1694"/>
      <c r="N124" s="328"/>
    </row>
    <row r="125" spans="2:14" ht="16.5" customHeight="1" thickBot="1">
      <c r="B125" s="21" t="s">
        <v>326</v>
      </c>
      <c r="C125" s="56" t="s">
        <v>327</v>
      </c>
      <c r="D125" s="1259" t="s">
        <v>227</v>
      </c>
      <c r="E125" s="57" t="s">
        <v>328</v>
      </c>
      <c r="F125" s="1118" t="s">
        <v>108</v>
      </c>
      <c r="G125" s="1170">
        <v>4.2</v>
      </c>
      <c r="H125" s="1149">
        <v>50</v>
      </c>
      <c r="I125" s="1128" t="s">
        <v>329</v>
      </c>
      <c r="J125" s="1116">
        <v>41.12</v>
      </c>
      <c r="K125" s="1149">
        <v>84</v>
      </c>
      <c r="L125" s="1114">
        <v>1061.76</v>
      </c>
      <c r="M125" s="1116">
        <v>3454.35</v>
      </c>
      <c r="N125" s="328"/>
    </row>
    <row r="126" spans="2:14" ht="16.5" customHeight="1">
      <c r="C126" s="58" t="s">
        <v>330</v>
      </c>
      <c r="D126" s="1260"/>
      <c r="E126" s="59" t="s">
        <v>331</v>
      </c>
      <c r="F126" s="1119"/>
      <c r="G126" s="1697"/>
      <c r="H126" s="1686"/>
      <c r="I126" s="1686"/>
      <c r="J126" s="1689"/>
      <c r="K126" s="1686"/>
      <c r="L126" s="1687"/>
      <c r="M126" s="1689"/>
      <c r="N126" s="328"/>
    </row>
    <row r="127" spans="2:14" ht="16.5" customHeight="1">
      <c r="B127" s="51"/>
      <c r="C127" s="58" t="s">
        <v>332</v>
      </c>
      <c r="D127" s="1260"/>
      <c r="E127" s="59" t="s">
        <v>333</v>
      </c>
      <c r="F127" s="1119"/>
      <c r="G127" s="1697"/>
      <c r="H127" s="1686"/>
      <c r="I127" s="1686"/>
      <c r="J127" s="1689"/>
      <c r="K127" s="1686"/>
      <c r="L127" s="1687"/>
      <c r="M127" s="1689"/>
      <c r="N127" s="328"/>
    </row>
    <row r="128" spans="2:14" ht="16.5" customHeight="1">
      <c r="B128" s="51"/>
      <c r="C128" s="58" t="s">
        <v>334</v>
      </c>
      <c r="D128" s="1260"/>
      <c r="E128" s="59" t="s">
        <v>335</v>
      </c>
      <c r="F128" s="1119"/>
      <c r="G128" s="1697"/>
      <c r="H128" s="1686"/>
      <c r="I128" s="1686"/>
      <c r="J128" s="1689"/>
      <c r="K128" s="1686"/>
      <c r="L128" s="1687"/>
      <c r="M128" s="1689"/>
      <c r="N128" s="328"/>
    </row>
    <row r="129" spans="2:14" ht="15.75" customHeight="1" thickBot="1">
      <c r="B129" s="51"/>
      <c r="C129" s="60" t="s">
        <v>336</v>
      </c>
      <c r="D129" s="1261"/>
      <c r="E129" s="61" t="s">
        <v>337</v>
      </c>
      <c r="F129" s="1120"/>
      <c r="G129" s="1700"/>
      <c r="H129" s="1690"/>
      <c r="I129" s="1690"/>
      <c r="J129" s="1694"/>
      <c r="K129" s="1690"/>
      <c r="L129" s="1692"/>
      <c r="M129" s="1694"/>
      <c r="N129" s="328"/>
    </row>
    <row r="130" spans="2:14" ht="15.75" customHeight="1" thickBot="1">
      <c r="C130" s="62"/>
      <c r="D130" s="263"/>
      <c r="E130" s="421"/>
      <c r="F130" s="243"/>
      <c r="G130" s="323"/>
      <c r="H130" s="243"/>
      <c r="I130" s="328"/>
      <c r="J130" s="328"/>
      <c r="K130" s="243"/>
      <c r="L130" s="328"/>
      <c r="M130" s="328"/>
      <c r="N130" s="328"/>
    </row>
    <row r="131" spans="2:14" ht="32.1" customHeight="1" thickBot="1">
      <c r="C131" s="1561" t="s">
        <v>338</v>
      </c>
      <c r="D131" s="1561"/>
      <c r="E131" s="1561"/>
      <c r="G131" s="549"/>
      <c r="H131" s="1133" t="s">
        <v>101</v>
      </c>
      <c r="I131" s="1675"/>
      <c r="J131" s="1676"/>
      <c r="K131" s="1133" t="s">
        <v>102</v>
      </c>
      <c r="L131" s="1675"/>
      <c r="M131" s="1676"/>
      <c r="N131" s="26"/>
    </row>
    <row r="132" spans="2:14" ht="15" customHeight="1" thickBot="1">
      <c r="C132" s="29" t="s">
        <v>103</v>
      </c>
      <c r="D132" s="31" t="s">
        <v>104</v>
      </c>
      <c r="E132" s="42" t="s">
        <v>105</v>
      </c>
      <c r="F132" s="31" t="s">
        <v>106</v>
      </c>
      <c r="G132" s="32" t="s">
        <v>107</v>
      </c>
      <c r="H132" s="43" t="s">
        <v>108</v>
      </c>
      <c r="I132" s="44" t="s">
        <v>109</v>
      </c>
      <c r="J132" s="55" t="s">
        <v>110</v>
      </c>
      <c r="K132" s="43" t="s">
        <v>111</v>
      </c>
      <c r="L132" s="44" t="s">
        <v>109</v>
      </c>
      <c r="M132" s="55" t="s">
        <v>110</v>
      </c>
      <c r="N132" s="37"/>
    </row>
    <row r="133" spans="2:14" ht="15" thickBot="1">
      <c r="B133" s="21" t="s">
        <v>213</v>
      </c>
      <c r="C133" s="250" t="s">
        <v>339</v>
      </c>
      <c r="D133" s="1118" t="s">
        <v>340</v>
      </c>
      <c r="E133" s="240" t="s">
        <v>341</v>
      </c>
      <c r="F133" s="1118" t="s">
        <v>108</v>
      </c>
      <c r="G133" s="1277">
        <v>4.8</v>
      </c>
      <c r="H133" s="1142">
        <v>10</v>
      </c>
      <c r="I133" s="1128" t="s">
        <v>342</v>
      </c>
      <c r="J133" s="1195">
        <v>18.920000000000002</v>
      </c>
      <c r="K133" s="1117">
        <v>56</v>
      </c>
      <c r="L133" s="1176" t="s">
        <v>342</v>
      </c>
      <c r="M133" s="1116">
        <v>1059.52</v>
      </c>
      <c r="N133" s="328"/>
    </row>
    <row r="134" spans="2:14" ht="15" thickBot="1">
      <c r="C134" s="252" t="s">
        <v>343</v>
      </c>
      <c r="D134" s="1120"/>
      <c r="E134" s="1" t="s">
        <v>344</v>
      </c>
      <c r="F134" s="1120"/>
      <c r="G134" s="1700"/>
      <c r="H134" s="1691"/>
      <c r="I134" s="1690"/>
      <c r="J134" s="1693"/>
      <c r="K134" s="1690"/>
      <c r="L134" s="1692"/>
      <c r="M134" s="1694"/>
      <c r="N134" s="328"/>
    </row>
    <row r="135" spans="2:14" ht="15" thickBot="1">
      <c r="C135" s="250" t="s">
        <v>345</v>
      </c>
      <c r="D135" s="1118" t="s">
        <v>346</v>
      </c>
      <c r="E135" s="240" t="s">
        <v>347</v>
      </c>
      <c r="F135" s="1118" t="s">
        <v>108</v>
      </c>
      <c r="G135" s="1277">
        <v>4.9800000000000004</v>
      </c>
      <c r="H135" s="1142">
        <v>10</v>
      </c>
      <c r="I135" s="1128" t="s">
        <v>342</v>
      </c>
      <c r="J135" s="1195">
        <v>16.760000000000002</v>
      </c>
      <c r="K135" s="1117">
        <v>56</v>
      </c>
      <c r="L135" s="1176" t="s">
        <v>342</v>
      </c>
      <c r="M135" s="1116">
        <v>938.56</v>
      </c>
      <c r="N135" s="328"/>
    </row>
    <row r="136" spans="2:14" ht="15" thickBot="1">
      <c r="C136" s="265" t="s">
        <v>348</v>
      </c>
      <c r="D136" s="1120"/>
      <c r="E136" s="266" t="s">
        <v>349</v>
      </c>
      <c r="F136" s="1120"/>
      <c r="G136" s="1700"/>
      <c r="H136" s="1691"/>
      <c r="I136" s="1690"/>
      <c r="J136" s="1693"/>
      <c r="K136" s="1690"/>
      <c r="L136" s="1692"/>
      <c r="M136" s="1694"/>
      <c r="N136" s="328"/>
    </row>
    <row r="137" spans="2:14" ht="15" thickBot="1">
      <c r="C137" s="250" t="s">
        <v>350</v>
      </c>
      <c r="D137" s="1118" t="s">
        <v>351</v>
      </c>
      <c r="E137" s="240" t="s">
        <v>352</v>
      </c>
      <c r="F137" s="1118" t="s">
        <v>108</v>
      </c>
      <c r="G137" s="1277">
        <v>10.26</v>
      </c>
      <c r="H137" s="1288">
        <v>8</v>
      </c>
      <c r="I137" s="1128" t="s">
        <v>342</v>
      </c>
      <c r="J137" s="1478">
        <v>32.450000000000003</v>
      </c>
      <c r="K137" s="1117">
        <v>24</v>
      </c>
      <c r="L137" s="1176" t="s">
        <v>342</v>
      </c>
      <c r="M137" s="1116">
        <v>778.75</v>
      </c>
      <c r="N137" s="328"/>
    </row>
    <row r="138" spans="2:14" ht="15" thickBot="1">
      <c r="C138" s="252" t="s">
        <v>353</v>
      </c>
      <c r="D138" s="1120"/>
      <c r="E138" s="1" t="s">
        <v>354</v>
      </c>
      <c r="F138" s="1120"/>
      <c r="G138" s="1700"/>
      <c r="H138" s="1691"/>
      <c r="I138" s="1690"/>
      <c r="J138" s="1693"/>
      <c r="K138" s="1690"/>
      <c r="L138" s="1692"/>
      <c r="M138" s="1694"/>
      <c r="N138" s="328"/>
    </row>
    <row r="139" spans="2:14" ht="15" thickBot="1">
      <c r="C139" s="257" t="s">
        <v>355</v>
      </c>
      <c r="D139" s="255" t="s">
        <v>356</v>
      </c>
      <c r="E139" s="267" t="s">
        <v>357</v>
      </c>
      <c r="F139" s="255" t="s">
        <v>108</v>
      </c>
      <c r="G139" s="599">
        <v>7.5</v>
      </c>
      <c r="H139" s="324">
        <v>6</v>
      </c>
      <c r="I139" s="325" t="s">
        <v>342</v>
      </c>
      <c r="J139" s="350">
        <v>18.13</v>
      </c>
      <c r="K139" s="324">
        <v>56</v>
      </c>
      <c r="L139" s="327" t="s">
        <v>342</v>
      </c>
      <c r="M139" s="326">
        <v>1015.06</v>
      </c>
      <c r="N139" s="328"/>
    </row>
    <row r="140" spans="2:14" ht="15" thickBot="1">
      <c r="C140" s="250" t="s">
        <v>358</v>
      </c>
      <c r="D140" s="1118" t="s">
        <v>359</v>
      </c>
      <c r="E140" s="240" t="s">
        <v>360</v>
      </c>
      <c r="F140" s="1118" t="s">
        <v>108</v>
      </c>
      <c r="G140" s="1277">
        <v>5.88</v>
      </c>
      <c r="H140" s="1288">
        <v>24</v>
      </c>
      <c r="I140" s="1128" t="s">
        <v>342</v>
      </c>
      <c r="J140" s="1478">
        <v>44.21</v>
      </c>
      <c r="K140" s="1117">
        <v>12</v>
      </c>
      <c r="L140" s="1176" t="s">
        <v>342</v>
      </c>
      <c r="M140" s="1116">
        <v>530.5</v>
      </c>
      <c r="N140" s="328"/>
    </row>
    <row r="141" spans="2:14" ht="15" thickBot="1">
      <c r="C141" s="252" t="s">
        <v>361</v>
      </c>
      <c r="D141" s="1120"/>
      <c r="E141" s="1" t="s">
        <v>362</v>
      </c>
      <c r="F141" s="1120"/>
      <c r="G141" s="1700"/>
      <c r="H141" s="1691"/>
      <c r="I141" s="1690"/>
      <c r="J141" s="1693"/>
      <c r="K141" s="1690"/>
      <c r="L141" s="1692"/>
      <c r="M141" s="1694"/>
      <c r="N141" s="328"/>
    </row>
    <row r="142" spans="2:14" ht="15" thickBot="1">
      <c r="C142" s="882" t="s">
        <v>247</v>
      </c>
      <c r="D142" s="243"/>
      <c r="E142" s="242"/>
      <c r="F142" s="243"/>
      <c r="G142" s="243"/>
      <c r="H142" s="243"/>
      <c r="I142" s="328"/>
      <c r="J142" s="328"/>
      <c r="K142" s="243"/>
      <c r="L142" s="328"/>
      <c r="M142" s="328"/>
      <c r="N142" s="328"/>
    </row>
    <row r="143" spans="2:14" ht="31.5" customHeight="1" thickBot="1">
      <c r="C143" s="63" t="s">
        <v>363</v>
      </c>
      <c r="E143" s="243"/>
      <c r="F143" s="243"/>
      <c r="G143" s="323"/>
      <c r="H143" s="1133" t="s">
        <v>101</v>
      </c>
      <c r="I143" s="1675"/>
      <c r="J143" s="1676"/>
      <c r="K143" s="1133" t="s">
        <v>102</v>
      </c>
      <c r="L143" s="1675"/>
      <c r="M143" s="1676"/>
      <c r="N143" s="26"/>
    </row>
    <row r="144" spans="2:14" ht="15" customHeight="1" thickBot="1">
      <c r="C144" s="28" t="s">
        <v>103</v>
      </c>
      <c r="D144" s="32" t="s">
        <v>104</v>
      </c>
      <c r="E144" s="30" t="s">
        <v>105</v>
      </c>
      <c r="F144" s="32" t="s">
        <v>106</v>
      </c>
      <c r="G144" s="32" t="s">
        <v>107</v>
      </c>
      <c r="H144" s="33" t="s">
        <v>108</v>
      </c>
      <c r="I144" s="34" t="s">
        <v>109</v>
      </c>
      <c r="J144" s="36" t="s">
        <v>110</v>
      </c>
      <c r="K144" s="33" t="s">
        <v>111</v>
      </c>
      <c r="L144" s="34" t="s">
        <v>109</v>
      </c>
      <c r="M144" s="36" t="s">
        <v>110</v>
      </c>
      <c r="N144" s="37"/>
    </row>
    <row r="145" spans="2:14" ht="15" thickBot="1">
      <c r="B145" s="21" t="s">
        <v>112</v>
      </c>
      <c r="C145" s="250" t="s">
        <v>364</v>
      </c>
      <c r="D145" s="1118" t="s">
        <v>114</v>
      </c>
      <c r="E145" s="305" t="s">
        <v>365</v>
      </c>
      <c r="F145" s="1333" t="s">
        <v>109</v>
      </c>
      <c r="G145" s="553">
        <v>2.34</v>
      </c>
      <c r="H145" s="1112">
        <v>10</v>
      </c>
      <c r="I145" s="1159">
        <v>18.940000000000001</v>
      </c>
      <c r="J145" s="1136">
        <v>75.56</v>
      </c>
      <c r="K145" s="1112">
        <v>32</v>
      </c>
      <c r="L145" s="1113">
        <v>606.22</v>
      </c>
      <c r="M145" s="1136">
        <v>2417.92</v>
      </c>
      <c r="N145" s="355"/>
    </row>
    <row r="146" spans="2:14" ht="15" thickBot="1">
      <c r="C146" s="251" t="s">
        <v>366</v>
      </c>
      <c r="D146" s="1120"/>
      <c r="E146" s="64" t="s">
        <v>367</v>
      </c>
      <c r="F146" s="1334"/>
      <c r="G146" s="227">
        <v>1.86</v>
      </c>
      <c r="H146" s="1690"/>
      <c r="I146" s="1690"/>
      <c r="J146" s="1694"/>
      <c r="K146" s="1690"/>
      <c r="L146" s="1692"/>
      <c r="M146" s="1694"/>
      <c r="N146" s="355"/>
    </row>
    <row r="147" spans="2:14" ht="15" thickBot="1">
      <c r="C147" s="250" t="s">
        <v>368</v>
      </c>
      <c r="D147" s="1118" t="s">
        <v>259</v>
      </c>
      <c r="E147" s="65" t="s">
        <v>369</v>
      </c>
      <c r="F147" s="1334"/>
      <c r="G147" s="553">
        <v>2.34</v>
      </c>
      <c r="H147" s="1112">
        <v>5</v>
      </c>
      <c r="I147" s="1159">
        <v>19.05</v>
      </c>
      <c r="J147" s="1136">
        <v>78.400000000000006</v>
      </c>
      <c r="K147" s="1112">
        <v>30</v>
      </c>
      <c r="L147" s="1113">
        <v>571.55999999999995</v>
      </c>
      <c r="M147" s="1136">
        <v>2352</v>
      </c>
      <c r="N147" s="355"/>
    </row>
    <row r="148" spans="2:14" ht="15" thickBot="1">
      <c r="C148" s="251" t="s">
        <v>370</v>
      </c>
      <c r="D148" s="1120"/>
      <c r="E148" s="64" t="s">
        <v>371</v>
      </c>
      <c r="F148" s="1334"/>
      <c r="G148" s="227">
        <v>1.86</v>
      </c>
      <c r="H148" s="1690"/>
      <c r="I148" s="1690"/>
      <c r="J148" s="1694"/>
      <c r="K148" s="1690"/>
      <c r="L148" s="1692"/>
      <c r="M148" s="1694"/>
      <c r="N148" s="355"/>
    </row>
    <row r="149" spans="2:14" ht="15" customHeight="1" thickBot="1">
      <c r="C149" s="250" t="s">
        <v>372</v>
      </c>
      <c r="D149" s="1118" t="s">
        <v>119</v>
      </c>
      <c r="E149" s="65" t="s">
        <v>373</v>
      </c>
      <c r="F149" s="1334"/>
      <c r="G149" s="553">
        <v>2.88</v>
      </c>
      <c r="H149" s="1305">
        <v>3</v>
      </c>
      <c r="I149" s="1216">
        <v>22.96</v>
      </c>
      <c r="J149" s="1565">
        <f>M149/K149</f>
        <v>84.141111111111115</v>
      </c>
      <c r="K149" s="1216">
        <v>27</v>
      </c>
      <c r="L149" s="1351">
        <v>619.92999999999995</v>
      </c>
      <c r="M149" s="1145">
        <v>2271.81</v>
      </c>
      <c r="N149" s="328"/>
    </row>
    <row r="150" spans="2:14" ht="15" customHeight="1" thickBot="1">
      <c r="C150" s="251" t="s">
        <v>374</v>
      </c>
      <c r="D150" s="1120"/>
      <c r="E150" s="64" t="s">
        <v>375</v>
      </c>
      <c r="F150" s="1334"/>
      <c r="G150" s="227">
        <v>2.4</v>
      </c>
      <c r="H150" s="1711"/>
      <c r="I150" s="1712"/>
      <c r="J150" s="1713"/>
      <c r="K150" s="1712"/>
      <c r="L150" s="1714"/>
      <c r="M150" s="1715"/>
      <c r="N150" s="328"/>
    </row>
    <row r="151" spans="2:14" ht="15" thickBot="1">
      <c r="C151" s="250" t="s">
        <v>376</v>
      </c>
      <c r="D151" s="1118" t="s">
        <v>377</v>
      </c>
      <c r="E151" s="65" t="s">
        <v>378</v>
      </c>
      <c r="F151" s="1334"/>
      <c r="G151" s="551">
        <v>2.64</v>
      </c>
      <c r="H151" s="1142">
        <v>3</v>
      </c>
      <c r="I151" s="1114">
        <v>25.83</v>
      </c>
      <c r="J151" s="1249">
        <v>87.77</v>
      </c>
      <c r="K151" s="1117">
        <v>24</v>
      </c>
      <c r="L151" s="1114">
        <v>620</v>
      </c>
      <c r="M151" s="1116">
        <v>2106.38</v>
      </c>
      <c r="N151" s="328"/>
    </row>
    <row r="152" spans="2:14" ht="15" thickBot="1">
      <c r="C152" s="252" t="s">
        <v>379</v>
      </c>
      <c r="D152" s="1120"/>
      <c r="E152" s="64" t="s">
        <v>380</v>
      </c>
      <c r="F152" s="1335"/>
      <c r="G152" s="552">
        <v>2.2200000000000002</v>
      </c>
      <c r="H152" s="1691"/>
      <c r="I152" s="1692"/>
      <c r="J152" s="1705"/>
      <c r="K152" s="1690"/>
      <c r="L152" s="1692"/>
      <c r="M152" s="1694"/>
      <c r="N152" s="328"/>
    </row>
    <row r="153" spans="2:14" ht="15" thickBot="1">
      <c r="C153" s="256"/>
      <c r="D153" s="243"/>
      <c r="E153" s="67"/>
      <c r="F153" s="243"/>
      <c r="G153" s="323"/>
      <c r="H153" s="320"/>
      <c r="I153" s="355"/>
      <c r="J153" s="355"/>
      <c r="K153" s="320"/>
      <c r="L153" s="355"/>
      <c r="M153" s="355"/>
      <c r="N153" s="355"/>
    </row>
    <row r="154" spans="2:14" ht="31.5" customHeight="1" thickBot="1">
      <c r="C154" s="63" t="s">
        <v>381</v>
      </c>
      <c r="E154" s="243"/>
      <c r="F154" s="243"/>
      <c r="G154" s="323"/>
      <c r="H154" s="1133" t="s">
        <v>101</v>
      </c>
      <c r="I154" s="1675"/>
      <c r="J154" s="1676"/>
      <c r="K154" s="1133" t="s">
        <v>102</v>
      </c>
      <c r="L154" s="1675"/>
      <c r="M154" s="1676"/>
      <c r="N154" s="26"/>
    </row>
    <row r="155" spans="2:14" ht="15" customHeight="1" thickBot="1">
      <c r="C155" s="28" t="s">
        <v>103</v>
      </c>
      <c r="D155" s="32" t="s">
        <v>104</v>
      </c>
      <c r="E155" s="30" t="s">
        <v>105</v>
      </c>
      <c r="F155" s="32" t="s">
        <v>106</v>
      </c>
      <c r="G155" s="32" t="s">
        <v>107</v>
      </c>
      <c r="H155" s="43" t="s">
        <v>108</v>
      </c>
      <c r="I155" s="44" t="s">
        <v>109</v>
      </c>
      <c r="J155" s="55" t="s">
        <v>110</v>
      </c>
      <c r="K155" s="43" t="s">
        <v>111</v>
      </c>
      <c r="L155" s="44" t="s">
        <v>109</v>
      </c>
      <c r="M155" s="55" t="s">
        <v>110</v>
      </c>
      <c r="N155" s="37"/>
    </row>
    <row r="156" spans="2:14" ht="15" thickBot="1">
      <c r="B156" s="21" t="s">
        <v>213</v>
      </c>
      <c r="C156" s="272" t="s">
        <v>382</v>
      </c>
      <c r="D156" s="1118" t="s">
        <v>383</v>
      </c>
      <c r="E156" s="68" t="s">
        <v>384</v>
      </c>
      <c r="F156" s="1118" t="s">
        <v>109</v>
      </c>
      <c r="G156" s="1165">
        <v>3.9</v>
      </c>
      <c r="H156" s="1193">
        <v>34</v>
      </c>
      <c r="I156" s="1128">
        <v>5.42</v>
      </c>
      <c r="J156" s="1249">
        <v>17.475999999999999</v>
      </c>
      <c r="K156" s="1149">
        <v>120</v>
      </c>
      <c r="L156" s="1114">
        <v>650.4</v>
      </c>
      <c r="M156" s="1276">
        <v>2097.12</v>
      </c>
      <c r="N156" s="37"/>
    </row>
    <row r="157" spans="2:14">
      <c r="C157" s="273" t="s">
        <v>385</v>
      </c>
      <c r="D157" s="1119"/>
      <c r="E157" s="69" t="s">
        <v>386</v>
      </c>
      <c r="F157" s="1119"/>
      <c r="G157" s="1697"/>
      <c r="H157" s="1686"/>
      <c r="I157" s="1686"/>
      <c r="J157" s="1689"/>
      <c r="K157" s="1686"/>
      <c r="L157" s="1687"/>
      <c r="M157" s="1689"/>
      <c r="N157" s="355"/>
    </row>
    <row r="158" spans="2:14">
      <c r="C158" s="273" t="s">
        <v>387</v>
      </c>
      <c r="D158" s="1119"/>
      <c r="E158" s="69" t="s">
        <v>388</v>
      </c>
      <c r="F158" s="1119"/>
      <c r="G158" s="1697"/>
      <c r="H158" s="1686"/>
      <c r="I158" s="1686"/>
      <c r="J158" s="1689"/>
      <c r="K158" s="1686"/>
      <c r="L158" s="1687"/>
      <c r="M158" s="1689"/>
      <c r="N158" s="355"/>
    </row>
    <row r="159" spans="2:14">
      <c r="C159" s="273" t="s">
        <v>389</v>
      </c>
      <c r="D159" s="1119"/>
      <c r="E159" s="69" t="s">
        <v>390</v>
      </c>
      <c r="F159" s="1119"/>
      <c r="G159" s="1697"/>
      <c r="H159" s="1686"/>
      <c r="I159" s="1686"/>
      <c r="J159" s="1689"/>
      <c r="K159" s="1686"/>
      <c r="L159" s="1687"/>
      <c r="M159" s="1689"/>
      <c r="N159" s="355"/>
    </row>
    <row r="160" spans="2:14">
      <c r="C160" s="273" t="s">
        <v>391</v>
      </c>
      <c r="D160" s="1119"/>
      <c r="E160" s="69" t="s">
        <v>392</v>
      </c>
      <c r="F160" s="1119"/>
      <c r="G160" s="1697"/>
      <c r="H160" s="1686"/>
      <c r="I160" s="1686"/>
      <c r="J160" s="1689"/>
      <c r="K160" s="1686"/>
      <c r="L160" s="1687"/>
      <c r="M160" s="1689"/>
      <c r="N160" s="243"/>
    </row>
    <row r="161" spans="3:14">
      <c r="C161" s="273" t="s">
        <v>393</v>
      </c>
      <c r="D161" s="1119"/>
      <c r="E161" s="69" t="s">
        <v>394</v>
      </c>
      <c r="F161" s="1119"/>
      <c r="G161" s="1697"/>
      <c r="H161" s="1686"/>
      <c r="I161" s="1686"/>
      <c r="J161" s="1689"/>
      <c r="K161" s="1686"/>
      <c r="L161" s="1687"/>
      <c r="M161" s="1689"/>
      <c r="N161" s="243"/>
    </row>
    <row r="162" spans="3:14">
      <c r="C162" s="273" t="s">
        <v>395</v>
      </c>
      <c r="D162" s="1119"/>
      <c r="E162" s="69" t="s">
        <v>396</v>
      </c>
      <c r="F162" s="1119"/>
      <c r="G162" s="1697"/>
      <c r="H162" s="1686"/>
      <c r="I162" s="1686"/>
      <c r="J162" s="1689"/>
      <c r="K162" s="1686"/>
      <c r="L162" s="1687"/>
      <c r="M162" s="1689"/>
      <c r="N162" s="243"/>
    </row>
    <row r="163" spans="3:14">
      <c r="C163" s="274" t="s">
        <v>397</v>
      </c>
      <c r="D163" s="1119"/>
      <c r="E163" s="70" t="s">
        <v>398</v>
      </c>
      <c r="F163" s="1119"/>
      <c r="G163" s="1697"/>
      <c r="H163" s="1686"/>
      <c r="I163" s="1686"/>
      <c r="J163" s="1689"/>
      <c r="K163" s="1686"/>
      <c r="L163" s="1687"/>
      <c r="M163" s="1689"/>
      <c r="N163" s="243"/>
    </row>
    <row r="164" spans="3:14">
      <c r="C164" s="273" t="s">
        <v>399</v>
      </c>
      <c r="D164" s="1119"/>
      <c r="E164" s="69" t="s">
        <v>400</v>
      </c>
      <c r="F164" s="1119"/>
      <c r="G164" s="1697"/>
      <c r="H164" s="1686"/>
      <c r="I164" s="1686"/>
      <c r="J164" s="1689"/>
      <c r="K164" s="1686"/>
      <c r="L164" s="1687"/>
      <c r="M164" s="1689"/>
      <c r="N164" s="243"/>
    </row>
    <row r="165" spans="3:14">
      <c r="C165" s="275" t="s">
        <v>401</v>
      </c>
      <c r="D165" s="1119"/>
      <c r="E165" s="71" t="s">
        <v>402</v>
      </c>
      <c r="F165" s="1119"/>
      <c r="G165" s="1697"/>
      <c r="H165" s="1686"/>
      <c r="I165" s="1686"/>
      <c r="J165" s="1689"/>
      <c r="K165" s="1686"/>
      <c r="L165" s="1687"/>
      <c r="M165" s="1689"/>
      <c r="N165" s="243"/>
    </row>
    <row r="166" spans="3:14">
      <c r="C166" s="273" t="s">
        <v>403</v>
      </c>
      <c r="D166" s="1119"/>
      <c r="E166" s="69" t="s">
        <v>404</v>
      </c>
      <c r="F166" s="1119"/>
      <c r="G166" s="1697"/>
      <c r="H166" s="1686"/>
      <c r="I166" s="1686"/>
      <c r="J166" s="1689"/>
      <c r="K166" s="1686"/>
      <c r="L166" s="1687"/>
      <c r="M166" s="1689"/>
      <c r="N166" s="243"/>
    </row>
    <row r="167" spans="3:14" ht="15" thickBot="1">
      <c r="C167" s="276" t="s">
        <v>405</v>
      </c>
      <c r="D167" s="1120"/>
      <c r="E167" s="72" t="s">
        <v>406</v>
      </c>
      <c r="F167" s="1120"/>
      <c r="G167" s="1700"/>
      <c r="H167" s="1691"/>
      <c r="I167" s="1690"/>
      <c r="J167" s="1705"/>
      <c r="K167" s="1690"/>
      <c r="L167" s="1692"/>
      <c r="M167" s="1694"/>
      <c r="N167" s="243"/>
    </row>
    <row r="168" spans="3:14" ht="15" thickBot="1">
      <c r="C168" s="272" t="s">
        <v>407</v>
      </c>
      <c r="D168" s="1118" t="s">
        <v>383</v>
      </c>
      <c r="E168" s="68" t="s">
        <v>408</v>
      </c>
      <c r="F168" s="1118" t="s">
        <v>109</v>
      </c>
      <c r="G168" s="1165">
        <v>4.5</v>
      </c>
      <c r="H168" s="1193">
        <v>44</v>
      </c>
      <c r="I168" s="1117">
        <v>5.38</v>
      </c>
      <c r="J168" s="1249">
        <v>18.611999999999998</v>
      </c>
      <c r="K168" s="1149">
        <v>120</v>
      </c>
      <c r="L168" s="1114">
        <v>645.6</v>
      </c>
      <c r="M168" s="1276">
        <v>2233.44</v>
      </c>
      <c r="N168" s="243"/>
    </row>
    <row r="169" spans="3:14">
      <c r="C169" s="273" t="s">
        <v>409</v>
      </c>
      <c r="D169" s="1119"/>
      <c r="E169" s="69" t="s">
        <v>410</v>
      </c>
      <c r="F169" s="1119"/>
      <c r="G169" s="1697"/>
      <c r="H169" s="1686"/>
      <c r="I169" s="1686"/>
      <c r="J169" s="1689"/>
      <c r="K169" s="1686"/>
      <c r="L169" s="1687"/>
      <c r="M169" s="1689"/>
      <c r="N169" s="243"/>
    </row>
    <row r="170" spans="3:14">
      <c r="C170" s="273" t="s">
        <v>411</v>
      </c>
      <c r="D170" s="1119"/>
      <c r="E170" s="69" t="s">
        <v>412</v>
      </c>
      <c r="F170" s="1119"/>
      <c r="G170" s="1697"/>
      <c r="H170" s="1686"/>
      <c r="I170" s="1686"/>
      <c r="J170" s="1689"/>
      <c r="K170" s="1686"/>
      <c r="L170" s="1687"/>
      <c r="M170" s="1689"/>
      <c r="N170" s="243"/>
    </row>
    <row r="171" spans="3:14">
      <c r="C171" s="273" t="s">
        <v>413</v>
      </c>
      <c r="D171" s="1119"/>
      <c r="E171" s="69" t="s">
        <v>414</v>
      </c>
      <c r="F171" s="1119"/>
      <c r="G171" s="1697"/>
      <c r="H171" s="1686"/>
      <c r="I171" s="1686"/>
      <c r="J171" s="1689"/>
      <c r="K171" s="1686"/>
      <c r="L171" s="1687"/>
      <c r="M171" s="1689"/>
      <c r="N171" s="243"/>
    </row>
    <row r="172" spans="3:14">
      <c r="C172" s="273" t="s">
        <v>415</v>
      </c>
      <c r="D172" s="1119"/>
      <c r="E172" s="69" t="s">
        <v>416</v>
      </c>
      <c r="F172" s="1119"/>
      <c r="G172" s="1697"/>
      <c r="H172" s="1686"/>
      <c r="I172" s="1686"/>
      <c r="J172" s="1689"/>
      <c r="K172" s="1686"/>
      <c r="L172" s="1687"/>
      <c r="M172" s="1689"/>
      <c r="N172" s="243"/>
    </row>
    <row r="173" spans="3:14">
      <c r="C173" s="273" t="s">
        <v>417</v>
      </c>
      <c r="D173" s="1119"/>
      <c r="E173" s="69" t="s">
        <v>418</v>
      </c>
      <c r="F173" s="1119"/>
      <c r="G173" s="1697"/>
      <c r="H173" s="1686"/>
      <c r="I173" s="1686"/>
      <c r="J173" s="1689"/>
      <c r="K173" s="1686"/>
      <c r="L173" s="1687"/>
      <c r="M173" s="1689"/>
      <c r="N173" s="243"/>
    </row>
    <row r="174" spans="3:14">
      <c r="C174" s="273" t="s">
        <v>419</v>
      </c>
      <c r="D174" s="1119"/>
      <c r="E174" s="69" t="s">
        <v>420</v>
      </c>
      <c r="F174" s="1119"/>
      <c r="G174" s="1697"/>
      <c r="H174" s="1686"/>
      <c r="I174" s="1686"/>
      <c r="J174" s="1689"/>
      <c r="K174" s="1686"/>
      <c r="L174" s="1687"/>
      <c r="M174" s="1689"/>
      <c r="N174" s="243"/>
    </row>
    <row r="175" spans="3:14">
      <c r="C175" s="274" t="s">
        <v>421</v>
      </c>
      <c r="D175" s="1119"/>
      <c r="E175" s="70" t="s">
        <v>422</v>
      </c>
      <c r="F175" s="1119"/>
      <c r="G175" s="1697"/>
      <c r="H175" s="1686"/>
      <c r="I175" s="1686"/>
      <c r="J175" s="1689"/>
      <c r="K175" s="1686"/>
      <c r="L175" s="1687"/>
      <c r="M175" s="1689"/>
      <c r="N175" s="243"/>
    </row>
    <row r="176" spans="3:14">
      <c r="C176" s="273" t="s">
        <v>423</v>
      </c>
      <c r="D176" s="1119"/>
      <c r="E176" s="69" t="s">
        <v>424</v>
      </c>
      <c r="F176" s="1119"/>
      <c r="G176" s="1697"/>
      <c r="H176" s="1686"/>
      <c r="I176" s="1686"/>
      <c r="J176" s="1689"/>
      <c r="K176" s="1686"/>
      <c r="L176" s="1687"/>
      <c r="M176" s="1689"/>
      <c r="N176" s="243"/>
    </row>
    <row r="177" spans="2:14">
      <c r="C177" s="275" t="s">
        <v>425</v>
      </c>
      <c r="D177" s="1119"/>
      <c r="E177" s="71" t="s">
        <v>426</v>
      </c>
      <c r="F177" s="1119"/>
      <c r="G177" s="1697"/>
      <c r="H177" s="1686"/>
      <c r="I177" s="1686"/>
      <c r="J177" s="1689"/>
      <c r="K177" s="1686"/>
      <c r="L177" s="1687"/>
      <c r="M177" s="1689"/>
      <c r="N177" s="243"/>
    </row>
    <row r="178" spans="2:14">
      <c r="C178" s="273" t="s">
        <v>427</v>
      </c>
      <c r="D178" s="1119"/>
      <c r="E178" s="69" t="s">
        <v>428</v>
      </c>
      <c r="F178" s="1119"/>
      <c r="G178" s="1697"/>
      <c r="H178" s="1686"/>
      <c r="I178" s="1686"/>
      <c r="J178" s="1689"/>
      <c r="K178" s="1686"/>
      <c r="L178" s="1687"/>
      <c r="M178" s="1689"/>
      <c r="N178" s="243"/>
    </row>
    <row r="179" spans="2:14" ht="15" thickBot="1">
      <c r="C179" s="276" t="s">
        <v>429</v>
      </c>
      <c r="D179" s="1120"/>
      <c r="E179" s="72" t="s">
        <v>430</v>
      </c>
      <c r="F179" s="1120"/>
      <c r="G179" s="1700"/>
      <c r="H179" s="1691"/>
      <c r="I179" s="1690"/>
      <c r="J179" s="1705"/>
      <c r="K179" s="1690"/>
      <c r="L179" s="1692"/>
      <c r="M179" s="1694"/>
      <c r="N179" s="243"/>
    </row>
    <row r="180" spans="2:14" ht="15" thickBot="1">
      <c r="B180" s="21" t="s">
        <v>326</v>
      </c>
      <c r="C180" s="272" t="s">
        <v>431</v>
      </c>
      <c r="D180" s="1118" t="s">
        <v>432</v>
      </c>
      <c r="E180" s="68" t="s">
        <v>433</v>
      </c>
      <c r="F180" s="1118" t="s">
        <v>108</v>
      </c>
      <c r="G180" s="1165">
        <v>3.9</v>
      </c>
      <c r="H180" s="1193">
        <v>34</v>
      </c>
      <c r="I180" s="1128">
        <v>5.3819999999999997</v>
      </c>
      <c r="J180" s="1249">
        <v>20.706</v>
      </c>
      <c r="K180" s="1149">
        <v>120</v>
      </c>
      <c r="L180" s="1114">
        <v>645.84</v>
      </c>
      <c r="M180" s="1276">
        <v>2484.7199999999998</v>
      </c>
      <c r="N180" s="243"/>
    </row>
    <row r="181" spans="2:14">
      <c r="C181" s="273" t="s">
        <v>434</v>
      </c>
      <c r="D181" s="1119"/>
      <c r="E181" s="69" t="s">
        <v>435</v>
      </c>
      <c r="F181" s="1119"/>
      <c r="G181" s="1697"/>
      <c r="H181" s="1686"/>
      <c r="I181" s="1686"/>
      <c r="J181" s="1689"/>
      <c r="K181" s="1686"/>
      <c r="L181" s="1687"/>
      <c r="M181" s="1689"/>
      <c r="N181" s="243"/>
    </row>
    <row r="182" spans="2:14">
      <c r="C182" s="273" t="s">
        <v>436</v>
      </c>
      <c r="D182" s="1119"/>
      <c r="E182" s="69" t="s">
        <v>437</v>
      </c>
      <c r="F182" s="1119"/>
      <c r="G182" s="1697"/>
      <c r="H182" s="1686"/>
      <c r="I182" s="1686"/>
      <c r="J182" s="1689"/>
      <c r="K182" s="1686"/>
      <c r="L182" s="1687"/>
      <c r="M182" s="1689"/>
      <c r="N182" s="243"/>
    </row>
    <row r="183" spans="2:14">
      <c r="C183" s="273" t="s">
        <v>438</v>
      </c>
      <c r="D183" s="1119"/>
      <c r="E183" s="69" t="s">
        <v>439</v>
      </c>
      <c r="F183" s="1119"/>
      <c r="G183" s="1697"/>
      <c r="H183" s="1686"/>
      <c r="I183" s="1686"/>
      <c r="J183" s="1689"/>
      <c r="K183" s="1686"/>
      <c r="L183" s="1687"/>
      <c r="M183" s="1689"/>
      <c r="N183" s="243"/>
    </row>
    <row r="184" spans="2:14">
      <c r="C184" s="273" t="s">
        <v>440</v>
      </c>
      <c r="D184" s="1119"/>
      <c r="E184" s="69" t="s">
        <v>441</v>
      </c>
      <c r="F184" s="1119"/>
      <c r="G184" s="1697"/>
      <c r="H184" s="1686"/>
      <c r="I184" s="1686"/>
      <c r="J184" s="1689"/>
      <c r="K184" s="1686"/>
      <c r="L184" s="1687"/>
      <c r="M184" s="1689"/>
      <c r="N184" s="243"/>
    </row>
    <row r="185" spans="2:14">
      <c r="C185" s="273" t="s">
        <v>442</v>
      </c>
      <c r="D185" s="1119"/>
      <c r="E185" s="69" t="s">
        <v>443</v>
      </c>
      <c r="F185" s="1119"/>
      <c r="G185" s="1697"/>
      <c r="H185" s="1686"/>
      <c r="I185" s="1686"/>
      <c r="J185" s="1689"/>
      <c r="K185" s="1686"/>
      <c r="L185" s="1687"/>
      <c r="M185" s="1689"/>
      <c r="N185" s="243"/>
    </row>
    <row r="186" spans="2:14">
      <c r="C186" s="273" t="s">
        <v>444</v>
      </c>
      <c r="D186" s="1119"/>
      <c r="E186" s="69" t="s">
        <v>445</v>
      </c>
      <c r="F186" s="1119"/>
      <c r="G186" s="1697"/>
      <c r="H186" s="1686"/>
      <c r="I186" s="1686"/>
      <c r="J186" s="1689"/>
      <c r="K186" s="1686"/>
      <c r="L186" s="1687"/>
      <c r="M186" s="1689"/>
      <c r="N186" s="243"/>
    </row>
    <row r="187" spans="2:14">
      <c r="C187" s="274" t="s">
        <v>446</v>
      </c>
      <c r="D187" s="1119"/>
      <c r="E187" s="70" t="s">
        <v>447</v>
      </c>
      <c r="F187" s="1119"/>
      <c r="G187" s="1697"/>
      <c r="H187" s="1686"/>
      <c r="I187" s="1686"/>
      <c r="J187" s="1689"/>
      <c r="K187" s="1686"/>
      <c r="L187" s="1687"/>
      <c r="M187" s="1689"/>
      <c r="N187" s="243"/>
    </row>
    <row r="188" spans="2:14">
      <c r="C188" s="273" t="s">
        <v>448</v>
      </c>
      <c r="D188" s="1119"/>
      <c r="E188" s="69" t="s">
        <v>449</v>
      </c>
      <c r="F188" s="1119"/>
      <c r="G188" s="1697"/>
      <c r="H188" s="1686"/>
      <c r="I188" s="1686"/>
      <c r="J188" s="1689"/>
      <c r="K188" s="1686"/>
      <c r="L188" s="1687"/>
      <c r="M188" s="1689"/>
      <c r="N188" s="243"/>
    </row>
    <row r="189" spans="2:14">
      <c r="C189" s="275" t="s">
        <v>450</v>
      </c>
      <c r="D189" s="1119"/>
      <c r="E189" s="71" t="s">
        <v>451</v>
      </c>
      <c r="F189" s="1119"/>
      <c r="G189" s="1697"/>
      <c r="H189" s="1686"/>
      <c r="I189" s="1686"/>
      <c r="J189" s="1689"/>
      <c r="K189" s="1686"/>
      <c r="L189" s="1687"/>
      <c r="M189" s="1689"/>
      <c r="N189" s="243"/>
    </row>
    <row r="190" spans="2:14">
      <c r="C190" s="273" t="s">
        <v>452</v>
      </c>
      <c r="D190" s="1119"/>
      <c r="E190" s="69" t="s">
        <v>453</v>
      </c>
      <c r="F190" s="1119"/>
      <c r="G190" s="1697"/>
      <c r="H190" s="1686"/>
      <c r="I190" s="1686"/>
      <c r="J190" s="1689"/>
      <c r="K190" s="1686"/>
      <c r="L190" s="1687"/>
      <c r="M190" s="1689"/>
      <c r="N190" s="243"/>
    </row>
    <row r="191" spans="2:14" ht="15" thickBot="1">
      <c r="C191" s="276" t="s">
        <v>454</v>
      </c>
      <c r="D191" s="1120"/>
      <c r="E191" s="72" t="s">
        <v>455</v>
      </c>
      <c r="F191" s="1120"/>
      <c r="G191" s="1700"/>
      <c r="H191" s="1691"/>
      <c r="I191" s="1690"/>
      <c r="J191" s="1705"/>
      <c r="K191" s="1690"/>
      <c r="L191" s="1692"/>
      <c r="M191" s="1694"/>
      <c r="N191" s="243"/>
    </row>
    <row r="192" spans="2:14" ht="15" thickBot="1">
      <c r="B192" s="21" t="s">
        <v>112</v>
      </c>
      <c r="C192" s="240" t="s">
        <v>456</v>
      </c>
      <c r="D192" s="1118" t="s">
        <v>457</v>
      </c>
      <c r="E192" s="240" t="s">
        <v>458</v>
      </c>
      <c r="F192" s="1118" t="s">
        <v>109</v>
      </c>
      <c r="G192" s="1165">
        <v>4.5</v>
      </c>
      <c r="H192" s="1193">
        <v>15</v>
      </c>
      <c r="I192" s="1128">
        <v>9.3861000000000008</v>
      </c>
      <c r="J192" s="1249">
        <v>43.125</v>
      </c>
      <c r="K192" s="1149">
        <v>72</v>
      </c>
      <c r="L192" s="1114">
        <v>675.79920000000004</v>
      </c>
      <c r="M192" s="1116">
        <v>3105</v>
      </c>
      <c r="N192" s="328"/>
    </row>
    <row r="193" spans="2:14">
      <c r="C193" s="241" t="s">
        <v>459</v>
      </c>
      <c r="D193" s="1119"/>
      <c r="E193" s="241" t="s">
        <v>460</v>
      </c>
      <c r="F193" s="1119"/>
      <c r="G193" s="1697"/>
      <c r="H193" s="1686"/>
      <c r="I193" s="1686"/>
      <c r="J193" s="1689"/>
      <c r="K193" s="1686"/>
      <c r="L193" s="1687"/>
      <c r="M193" s="1689"/>
      <c r="N193" s="328"/>
    </row>
    <row r="194" spans="2:14">
      <c r="C194" s="241" t="s">
        <v>461</v>
      </c>
      <c r="D194" s="1119"/>
      <c r="E194" s="241" t="s">
        <v>462</v>
      </c>
      <c r="F194" s="1119"/>
      <c r="G194" s="1697"/>
      <c r="H194" s="1686"/>
      <c r="I194" s="1686"/>
      <c r="J194" s="1689"/>
      <c r="K194" s="1686"/>
      <c r="L194" s="1687"/>
      <c r="M194" s="1689"/>
      <c r="N194" s="328"/>
    </row>
    <row r="195" spans="2:14">
      <c r="C195" s="241" t="s">
        <v>463</v>
      </c>
      <c r="D195" s="1119"/>
      <c r="E195" s="241" t="s">
        <v>464</v>
      </c>
      <c r="F195" s="1119"/>
      <c r="G195" s="1697"/>
      <c r="H195" s="1686"/>
      <c r="I195" s="1686"/>
      <c r="J195" s="1689"/>
      <c r="K195" s="1686"/>
      <c r="L195" s="1687"/>
      <c r="M195" s="1689"/>
      <c r="N195" s="328"/>
    </row>
    <row r="196" spans="2:14">
      <c r="C196" s="241" t="s">
        <v>465</v>
      </c>
      <c r="D196" s="1119"/>
      <c r="E196" s="241" t="s">
        <v>466</v>
      </c>
      <c r="F196" s="1119"/>
      <c r="G196" s="1697"/>
      <c r="H196" s="1686"/>
      <c r="I196" s="1686"/>
      <c r="J196" s="1689"/>
      <c r="K196" s="1686"/>
      <c r="L196" s="1687"/>
      <c r="M196" s="1689"/>
      <c r="N196" s="328"/>
    </row>
    <row r="197" spans="2:14" ht="15" thickBot="1">
      <c r="C197" s="1" t="s">
        <v>467</v>
      </c>
      <c r="D197" s="1120"/>
      <c r="E197" s="1" t="s">
        <v>468</v>
      </c>
      <c r="F197" s="1120"/>
      <c r="G197" s="1700"/>
      <c r="H197" s="1691"/>
      <c r="I197" s="1690"/>
      <c r="J197" s="1705"/>
      <c r="K197" s="1690"/>
      <c r="L197" s="1692"/>
      <c r="M197" s="1694"/>
      <c r="N197" s="328"/>
    </row>
    <row r="198" spans="2:14" ht="15" thickBot="1">
      <c r="C198" s="240" t="s">
        <v>469</v>
      </c>
      <c r="D198" s="1118" t="s">
        <v>470</v>
      </c>
      <c r="E198" s="240" t="s">
        <v>471</v>
      </c>
      <c r="F198" s="1118" t="s">
        <v>109</v>
      </c>
      <c r="G198" s="1165">
        <v>4.5</v>
      </c>
      <c r="H198" s="1193">
        <v>20</v>
      </c>
      <c r="I198" s="1128">
        <v>3.5520999999999998</v>
      </c>
      <c r="J198" s="1263">
        <v>18.62</v>
      </c>
      <c r="K198" s="1149">
        <v>105</v>
      </c>
      <c r="L198" s="1176">
        <v>372.97</v>
      </c>
      <c r="M198" s="1116">
        <v>1955.1</v>
      </c>
      <c r="N198" s="328"/>
    </row>
    <row r="199" spans="2:14">
      <c r="C199" s="241" t="s">
        <v>472</v>
      </c>
      <c r="D199" s="1119"/>
      <c r="E199" s="241" t="s">
        <v>473</v>
      </c>
      <c r="F199" s="1119"/>
      <c r="G199" s="1697"/>
      <c r="H199" s="1686"/>
      <c r="I199" s="1686"/>
      <c r="J199" s="1689"/>
      <c r="K199" s="1686"/>
      <c r="L199" s="1687"/>
      <c r="M199" s="1689"/>
      <c r="N199" s="328"/>
    </row>
    <row r="200" spans="2:14">
      <c r="C200" s="241" t="s">
        <v>474</v>
      </c>
      <c r="D200" s="1119"/>
      <c r="E200" s="241" t="s">
        <v>475</v>
      </c>
      <c r="F200" s="1119"/>
      <c r="G200" s="1697"/>
      <c r="H200" s="1686"/>
      <c r="I200" s="1686"/>
      <c r="J200" s="1689"/>
      <c r="K200" s="1686"/>
      <c r="L200" s="1687"/>
      <c r="M200" s="1689"/>
      <c r="N200" s="328"/>
    </row>
    <row r="201" spans="2:14">
      <c r="C201" s="241" t="s">
        <v>476</v>
      </c>
      <c r="D201" s="1119"/>
      <c r="E201" s="241" t="s">
        <v>477</v>
      </c>
      <c r="F201" s="1119"/>
      <c r="G201" s="1697"/>
      <c r="H201" s="1686"/>
      <c r="I201" s="1686"/>
      <c r="J201" s="1689"/>
      <c r="K201" s="1686"/>
      <c r="L201" s="1687"/>
      <c r="M201" s="1689"/>
      <c r="N201" s="328"/>
    </row>
    <row r="202" spans="2:14">
      <c r="C202" s="241" t="s">
        <v>478</v>
      </c>
      <c r="D202" s="1119"/>
      <c r="E202" s="241" t="s">
        <v>479</v>
      </c>
      <c r="F202" s="1119"/>
      <c r="G202" s="1697"/>
      <c r="H202" s="1686"/>
      <c r="I202" s="1686"/>
      <c r="J202" s="1689"/>
      <c r="K202" s="1686"/>
      <c r="L202" s="1687"/>
      <c r="M202" s="1689"/>
      <c r="N202" s="328"/>
    </row>
    <row r="203" spans="2:14" ht="15" thickBot="1">
      <c r="C203" s="1" t="s">
        <v>480</v>
      </c>
      <c r="D203" s="1120"/>
      <c r="E203" s="1" t="s">
        <v>481</v>
      </c>
      <c r="F203" s="1120"/>
      <c r="G203" s="1700"/>
      <c r="H203" s="1691"/>
      <c r="I203" s="1690"/>
      <c r="J203" s="1705"/>
      <c r="K203" s="1690"/>
      <c r="L203" s="1692"/>
      <c r="M203" s="1694"/>
      <c r="N203" s="328"/>
    </row>
    <row r="204" spans="2:14" ht="15" thickBot="1">
      <c r="C204" s="882" t="s">
        <v>247</v>
      </c>
      <c r="D204" s="243"/>
      <c r="E204" s="242"/>
      <c r="F204" s="243"/>
      <c r="G204" s="243"/>
      <c r="H204" s="243"/>
      <c r="I204" s="328"/>
      <c r="J204" s="328"/>
      <c r="K204" s="243"/>
      <c r="L204" s="328"/>
      <c r="M204" s="328"/>
      <c r="N204" s="328"/>
    </row>
    <row r="205" spans="2:14" ht="31.5" customHeight="1" thickBot="1">
      <c r="B205" s="74"/>
      <c r="C205" s="63" t="s">
        <v>482</v>
      </c>
      <c r="G205" s="549"/>
      <c r="H205" s="1133" t="s">
        <v>101</v>
      </c>
      <c r="I205" s="1675"/>
      <c r="J205" s="1676"/>
      <c r="K205" s="1133" t="s">
        <v>102</v>
      </c>
      <c r="L205" s="1675"/>
      <c r="M205" s="1676"/>
      <c r="N205" s="26"/>
    </row>
    <row r="206" spans="2:14" ht="15" customHeight="1" thickBot="1">
      <c r="C206" s="29" t="s">
        <v>103</v>
      </c>
      <c r="D206" s="31" t="s">
        <v>104</v>
      </c>
      <c r="E206" s="42" t="s">
        <v>105</v>
      </c>
      <c r="F206" s="32" t="s">
        <v>106</v>
      </c>
      <c r="G206" s="32" t="s">
        <v>107</v>
      </c>
      <c r="H206" s="33" t="s">
        <v>108</v>
      </c>
      <c r="I206" s="34" t="s">
        <v>109</v>
      </c>
      <c r="J206" s="36" t="s">
        <v>110</v>
      </c>
      <c r="K206" s="33" t="s">
        <v>111</v>
      </c>
      <c r="L206" s="34" t="s">
        <v>109</v>
      </c>
      <c r="M206" s="36" t="s">
        <v>110</v>
      </c>
      <c r="N206" s="37"/>
    </row>
    <row r="207" spans="2:14" ht="15" thickBot="1">
      <c r="B207" s="21" t="s">
        <v>112</v>
      </c>
      <c r="C207" s="75" t="s">
        <v>483</v>
      </c>
      <c r="D207" s="1118" t="s">
        <v>484</v>
      </c>
      <c r="E207" s="456" t="s">
        <v>485</v>
      </c>
      <c r="F207" s="1118" t="s">
        <v>109</v>
      </c>
      <c r="G207" s="1165">
        <v>1.98</v>
      </c>
      <c r="H207" s="1290">
        <v>9</v>
      </c>
      <c r="I207" s="1347">
        <v>17.52</v>
      </c>
      <c r="J207" s="1130">
        <v>59.69</v>
      </c>
      <c r="K207" s="1290">
        <v>45</v>
      </c>
      <c r="L207" s="1130">
        <v>788.44</v>
      </c>
      <c r="M207" s="1347">
        <v>2685.96</v>
      </c>
      <c r="N207" s="37"/>
    </row>
    <row r="208" spans="2:14" ht="16.350000000000001" customHeight="1">
      <c r="C208" s="76" t="s">
        <v>486</v>
      </c>
      <c r="D208" s="1119"/>
      <c r="E208" s="457" t="s">
        <v>487</v>
      </c>
      <c r="F208" s="1119"/>
      <c r="G208" s="1697"/>
      <c r="H208" s="1697"/>
      <c r="I208" s="1697"/>
      <c r="J208" s="1697"/>
      <c r="K208" s="1697"/>
      <c r="L208" s="1697"/>
      <c r="M208" s="1697"/>
      <c r="N208" s="355"/>
    </row>
    <row r="209" spans="2:14" ht="16.350000000000001" customHeight="1">
      <c r="C209" s="76" t="s">
        <v>488</v>
      </c>
      <c r="D209" s="1119"/>
      <c r="E209" s="457" t="s">
        <v>489</v>
      </c>
      <c r="F209" s="1119"/>
      <c r="G209" s="1697"/>
      <c r="H209" s="1697"/>
      <c r="I209" s="1697"/>
      <c r="J209" s="1697"/>
      <c r="K209" s="1697"/>
      <c r="L209" s="1697"/>
      <c r="M209" s="1697"/>
      <c r="N209" s="355"/>
    </row>
    <row r="210" spans="2:14" ht="16.350000000000001" customHeight="1" thickBot="1">
      <c r="C210" s="78" t="s">
        <v>490</v>
      </c>
      <c r="D210" s="1120"/>
      <c r="E210" s="458" t="s">
        <v>491</v>
      </c>
      <c r="F210" s="1120"/>
      <c r="G210" s="1700"/>
      <c r="H210" s="1700"/>
      <c r="I210" s="1700"/>
      <c r="J210" s="1700"/>
      <c r="K210" s="1700"/>
      <c r="L210" s="1700"/>
      <c r="M210" s="1700"/>
      <c r="N210" s="355"/>
    </row>
    <row r="211" spans="2:14" ht="15" customHeight="1" thickBot="1">
      <c r="C211" s="256"/>
      <c r="D211" s="243"/>
      <c r="E211" s="242"/>
      <c r="F211" s="243"/>
      <c r="G211" s="243"/>
      <c r="H211" s="243"/>
      <c r="I211" s="328"/>
      <c r="J211" s="328"/>
      <c r="K211" s="243"/>
      <c r="L211" s="328"/>
      <c r="M211" s="328"/>
      <c r="N211" s="328"/>
    </row>
    <row r="212" spans="2:14" ht="32.1" customHeight="1" thickBot="1">
      <c r="B212" s="74"/>
      <c r="C212" s="63" t="s">
        <v>492</v>
      </c>
      <c r="G212" s="549"/>
      <c r="H212" s="1133" t="s">
        <v>101</v>
      </c>
      <c r="I212" s="1675"/>
      <c r="J212" s="1676"/>
      <c r="K212" s="1133" t="s">
        <v>102</v>
      </c>
      <c r="L212" s="1675"/>
      <c r="M212" s="1676"/>
      <c r="N212" s="26"/>
    </row>
    <row r="213" spans="2:14" ht="15" customHeight="1" thickBot="1">
      <c r="C213" s="28" t="s">
        <v>103</v>
      </c>
      <c r="D213" s="32" t="s">
        <v>104</v>
      </c>
      <c r="E213" s="30" t="s">
        <v>105</v>
      </c>
      <c r="F213" s="32" t="s">
        <v>106</v>
      </c>
      <c r="G213" s="32" t="s">
        <v>107</v>
      </c>
      <c r="H213" s="33" t="s">
        <v>108</v>
      </c>
      <c r="I213" s="34" t="s">
        <v>109</v>
      </c>
      <c r="J213" s="36" t="s">
        <v>110</v>
      </c>
      <c r="K213" s="33" t="s">
        <v>111</v>
      </c>
      <c r="L213" s="34" t="s">
        <v>109</v>
      </c>
      <c r="M213" s="36" t="s">
        <v>110</v>
      </c>
      <c r="N213" s="37"/>
    </row>
    <row r="214" spans="2:14" ht="15" thickBot="1">
      <c r="B214" s="21" t="s">
        <v>213</v>
      </c>
      <c r="C214" s="75" t="s">
        <v>493</v>
      </c>
      <c r="D214" s="1118" t="s">
        <v>178</v>
      </c>
      <c r="E214" s="68" t="s">
        <v>494</v>
      </c>
      <c r="F214" s="1118" t="s">
        <v>109</v>
      </c>
      <c r="G214" s="1170">
        <v>2.4</v>
      </c>
      <c r="H214" s="1117">
        <v>50</v>
      </c>
      <c r="I214" s="1128">
        <v>12.64</v>
      </c>
      <c r="J214" s="1116">
        <v>29.1</v>
      </c>
      <c r="K214" s="1117">
        <v>99</v>
      </c>
      <c r="L214" s="1114">
        <v>1251.3599999999999</v>
      </c>
      <c r="M214" s="1116">
        <v>2880.9</v>
      </c>
      <c r="N214" s="37"/>
    </row>
    <row r="215" spans="2:14">
      <c r="C215" s="76" t="s">
        <v>495</v>
      </c>
      <c r="D215" s="1119"/>
      <c r="E215" s="69" t="s">
        <v>496</v>
      </c>
      <c r="F215" s="1119"/>
      <c r="G215" s="1697"/>
      <c r="H215" s="1686"/>
      <c r="I215" s="1686"/>
      <c r="J215" s="1689"/>
      <c r="K215" s="1686"/>
      <c r="L215" s="1687"/>
      <c r="M215" s="1689"/>
      <c r="N215" s="355"/>
    </row>
    <row r="216" spans="2:14">
      <c r="C216" s="76" t="s">
        <v>497</v>
      </c>
      <c r="D216" s="1119"/>
      <c r="E216" s="69" t="s">
        <v>498</v>
      </c>
      <c r="F216" s="1119"/>
      <c r="G216" s="1697"/>
      <c r="H216" s="1686"/>
      <c r="I216" s="1686"/>
      <c r="J216" s="1689"/>
      <c r="K216" s="1686"/>
      <c r="L216" s="1687"/>
      <c r="M216" s="1689"/>
      <c r="N216" s="355"/>
    </row>
    <row r="217" spans="2:14">
      <c r="C217" s="77" t="s">
        <v>499</v>
      </c>
      <c r="D217" s="1119"/>
      <c r="E217" s="70" t="s">
        <v>500</v>
      </c>
      <c r="F217" s="1119"/>
      <c r="G217" s="1697"/>
      <c r="H217" s="1686"/>
      <c r="I217" s="1686"/>
      <c r="J217" s="1689"/>
      <c r="K217" s="1686"/>
      <c r="L217" s="1687"/>
      <c r="M217" s="1689"/>
      <c r="N217" s="355"/>
    </row>
    <row r="218" spans="2:14" ht="15" thickBot="1">
      <c r="C218" s="77" t="s">
        <v>501</v>
      </c>
      <c r="D218" s="1120"/>
      <c r="E218" s="70" t="s">
        <v>502</v>
      </c>
      <c r="F218" s="1120"/>
      <c r="G218" s="1700"/>
      <c r="H218" s="1686"/>
      <c r="I218" s="1686"/>
      <c r="J218" s="1689"/>
      <c r="K218" s="1686"/>
      <c r="L218" s="1687"/>
      <c r="M218" s="1689"/>
      <c r="N218" s="355"/>
    </row>
    <row r="219" spans="2:14" ht="15" thickBot="1">
      <c r="B219" s="21" t="s">
        <v>326</v>
      </c>
      <c r="C219" s="75" t="s">
        <v>503</v>
      </c>
      <c r="D219" s="1118" t="s">
        <v>227</v>
      </c>
      <c r="E219" s="68" t="s">
        <v>504</v>
      </c>
      <c r="F219" s="1118" t="s">
        <v>108</v>
      </c>
      <c r="G219" s="1170">
        <v>3.6</v>
      </c>
      <c r="H219" s="1686"/>
      <c r="I219" s="1686"/>
      <c r="J219" s="1689"/>
      <c r="K219" s="1686"/>
      <c r="L219" s="1687"/>
      <c r="M219" s="1689"/>
      <c r="N219" s="355"/>
    </row>
    <row r="220" spans="2:14">
      <c r="C220" s="76" t="s">
        <v>505</v>
      </c>
      <c r="D220" s="1119"/>
      <c r="E220" s="69" t="s">
        <v>506</v>
      </c>
      <c r="F220" s="1119"/>
      <c r="G220" s="1697"/>
      <c r="H220" s="1686"/>
      <c r="I220" s="1686"/>
      <c r="J220" s="1689"/>
      <c r="K220" s="1686"/>
      <c r="L220" s="1687"/>
      <c r="M220" s="1689"/>
      <c r="N220" s="355"/>
    </row>
    <row r="221" spans="2:14">
      <c r="C221" s="76" t="s">
        <v>507</v>
      </c>
      <c r="D221" s="1119"/>
      <c r="E221" s="69" t="s">
        <v>508</v>
      </c>
      <c r="F221" s="1119"/>
      <c r="G221" s="1697"/>
      <c r="H221" s="1686"/>
      <c r="I221" s="1686"/>
      <c r="J221" s="1689"/>
      <c r="K221" s="1686"/>
      <c r="L221" s="1687"/>
      <c r="M221" s="1689"/>
      <c r="N221" s="355"/>
    </row>
    <row r="222" spans="2:14">
      <c r="C222" s="77" t="s">
        <v>509</v>
      </c>
      <c r="D222" s="1119"/>
      <c r="E222" s="70" t="s">
        <v>510</v>
      </c>
      <c r="F222" s="1119"/>
      <c r="G222" s="1697"/>
      <c r="H222" s="1686"/>
      <c r="I222" s="1686"/>
      <c r="J222" s="1689"/>
      <c r="K222" s="1686"/>
      <c r="L222" s="1687"/>
      <c r="M222" s="1689"/>
      <c r="N222" s="355"/>
    </row>
    <row r="223" spans="2:14" ht="15" thickBot="1">
      <c r="C223" s="78" t="s">
        <v>511</v>
      </c>
      <c r="D223" s="1120"/>
      <c r="E223" s="72" t="s">
        <v>512</v>
      </c>
      <c r="F223" s="1120"/>
      <c r="G223" s="1700"/>
      <c r="H223" s="1690"/>
      <c r="I223" s="1690"/>
      <c r="J223" s="1694"/>
      <c r="K223" s="1690"/>
      <c r="L223" s="1692"/>
      <c r="M223" s="1694"/>
      <c r="N223" s="355"/>
    </row>
    <row r="224" spans="2:14" ht="15" thickBot="1">
      <c r="C224" s="40"/>
      <c r="D224" s="243"/>
      <c r="E224" s="79"/>
      <c r="F224" s="243"/>
      <c r="G224" s="243"/>
      <c r="H224" s="243"/>
      <c r="I224" s="328"/>
      <c r="J224" s="328"/>
      <c r="K224" s="243"/>
      <c r="L224" s="328"/>
      <c r="M224" s="328"/>
      <c r="N224" s="328"/>
    </row>
    <row r="225" spans="2:14" ht="31.5" customHeight="1" thickBot="1">
      <c r="C225" s="19" t="s">
        <v>513</v>
      </c>
      <c r="E225" s="242"/>
      <c r="G225" s="549"/>
      <c r="H225" s="1131" t="s">
        <v>101</v>
      </c>
      <c r="I225" s="1716"/>
      <c r="J225" s="1717"/>
      <c r="K225" s="1133" t="s">
        <v>102</v>
      </c>
      <c r="L225" s="1675"/>
      <c r="M225" s="1676"/>
      <c r="N225" s="26"/>
    </row>
    <row r="226" spans="2:14" ht="15" customHeight="1" thickBot="1">
      <c r="C226" s="28" t="s">
        <v>103</v>
      </c>
      <c r="D226" s="32" t="s">
        <v>104</v>
      </c>
      <c r="E226" s="30" t="s">
        <v>105</v>
      </c>
      <c r="F226" s="32" t="s">
        <v>106</v>
      </c>
      <c r="G226" s="32" t="s">
        <v>107</v>
      </c>
      <c r="H226" s="43" t="s">
        <v>108</v>
      </c>
      <c r="I226" s="44" t="s">
        <v>109</v>
      </c>
      <c r="J226" s="55" t="s">
        <v>110</v>
      </c>
      <c r="K226" s="33" t="s">
        <v>111</v>
      </c>
      <c r="L226" s="34" t="s">
        <v>109</v>
      </c>
      <c r="M226" s="36" t="s">
        <v>110</v>
      </c>
      <c r="N226" s="37"/>
    </row>
    <row r="227" spans="2:14" ht="15" customHeight="1">
      <c r="B227" s="21" t="s">
        <v>112</v>
      </c>
      <c r="C227" s="76" t="s">
        <v>514</v>
      </c>
      <c r="D227" s="1118" t="s">
        <v>114</v>
      </c>
      <c r="E227" s="240" t="s">
        <v>515</v>
      </c>
      <c r="F227" s="1118" t="s">
        <v>109</v>
      </c>
      <c r="G227" s="540">
        <v>1.92</v>
      </c>
      <c r="H227" s="339">
        <v>10</v>
      </c>
      <c r="I227" s="340">
        <v>20.343800000000002</v>
      </c>
      <c r="J227" s="341">
        <v>79.73</v>
      </c>
      <c r="K227" s="339">
        <v>32</v>
      </c>
      <c r="L227" s="340">
        <v>651</v>
      </c>
      <c r="M227" s="341">
        <v>2551.36</v>
      </c>
      <c r="N227" s="37"/>
    </row>
    <row r="228" spans="2:14" ht="15" thickBot="1">
      <c r="C228" s="77" t="s">
        <v>516</v>
      </c>
      <c r="D228" s="1120"/>
      <c r="E228" s="1" t="s">
        <v>517</v>
      </c>
      <c r="F228" s="1120"/>
      <c r="G228" s="227">
        <v>2.58</v>
      </c>
      <c r="H228" s="342">
        <v>10</v>
      </c>
      <c r="I228" s="343">
        <v>18.8368</v>
      </c>
      <c r="J228" s="344">
        <v>77.55</v>
      </c>
      <c r="K228" s="342">
        <v>32</v>
      </c>
      <c r="L228" s="343">
        <v>602.78</v>
      </c>
      <c r="M228" s="344">
        <v>2481.6</v>
      </c>
      <c r="N228" s="355"/>
    </row>
    <row r="229" spans="2:14" ht="15" customHeight="1" thickBot="1">
      <c r="C229" s="223" t="s">
        <v>518</v>
      </c>
      <c r="D229" s="1118" t="s">
        <v>119</v>
      </c>
      <c r="E229" s="240" t="s">
        <v>519</v>
      </c>
      <c r="F229" s="1119" t="s">
        <v>109</v>
      </c>
      <c r="G229" s="540">
        <v>2.64</v>
      </c>
      <c r="H229" s="1216">
        <v>3</v>
      </c>
      <c r="I229" s="1216">
        <v>22.96</v>
      </c>
      <c r="J229" s="1145">
        <v>84.14</v>
      </c>
      <c r="K229" s="1216">
        <v>27</v>
      </c>
      <c r="L229" s="1351">
        <v>619.92999999999995</v>
      </c>
      <c r="M229" s="1145">
        <v>2271.81</v>
      </c>
      <c r="N229" s="355"/>
    </row>
    <row r="230" spans="2:14" ht="16.350000000000001" customHeight="1" thickBot="1">
      <c r="B230" s="609"/>
      <c r="C230" s="39" t="s">
        <v>520</v>
      </c>
      <c r="D230" s="1120"/>
      <c r="E230" s="1" t="s">
        <v>521</v>
      </c>
      <c r="F230" s="1120"/>
      <c r="G230" s="227">
        <v>3.18</v>
      </c>
      <c r="H230" s="1712"/>
      <c r="I230" s="1712"/>
      <c r="J230" s="1715"/>
      <c r="K230" s="1712"/>
      <c r="L230" s="1714"/>
      <c r="M230" s="1715"/>
      <c r="N230" s="355"/>
    </row>
    <row r="231" spans="2:14" ht="15" customHeight="1" thickBot="1">
      <c r="C231" s="75" t="s">
        <v>522</v>
      </c>
      <c r="D231" s="277" t="s">
        <v>523</v>
      </c>
      <c r="E231" s="267" t="s">
        <v>524</v>
      </c>
      <c r="F231" s="255" t="s">
        <v>108</v>
      </c>
      <c r="G231" s="226">
        <v>9.42</v>
      </c>
      <c r="H231" s="324">
        <v>11</v>
      </c>
      <c r="I231" s="325">
        <v>13.132</v>
      </c>
      <c r="J231" s="326">
        <v>45.771099999999997</v>
      </c>
      <c r="K231" s="324">
        <v>36</v>
      </c>
      <c r="L231" s="325" t="s">
        <v>525</v>
      </c>
      <c r="M231" s="326">
        <v>1647.76</v>
      </c>
      <c r="N231" s="328"/>
    </row>
    <row r="232" spans="2:14" ht="15" customHeight="1" thickBot="1">
      <c r="C232" s="607" t="s">
        <v>526</v>
      </c>
      <c r="D232" s="277" t="s">
        <v>250</v>
      </c>
      <c r="E232" s="267" t="s">
        <v>527</v>
      </c>
      <c r="F232" s="255" t="s">
        <v>108</v>
      </c>
      <c r="G232" s="226">
        <v>9.42</v>
      </c>
      <c r="H232" s="324">
        <v>16</v>
      </c>
      <c r="I232" s="325">
        <v>16.11</v>
      </c>
      <c r="J232" s="326">
        <v>35.93</v>
      </c>
      <c r="K232" s="324">
        <v>72</v>
      </c>
      <c r="L232" s="325">
        <v>1159.92</v>
      </c>
      <c r="M232" s="326">
        <v>2586.96</v>
      </c>
      <c r="N232" s="328"/>
    </row>
    <row r="233" spans="2:14" ht="15" customHeight="1" thickBot="1">
      <c r="B233" s="21" t="s">
        <v>326</v>
      </c>
      <c r="C233" s="76" t="s">
        <v>528</v>
      </c>
      <c r="D233" s="277" t="s">
        <v>227</v>
      </c>
      <c r="E233" s="267" t="s">
        <v>529</v>
      </c>
      <c r="F233" s="255" t="s">
        <v>108</v>
      </c>
      <c r="G233" s="226">
        <v>2.52</v>
      </c>
      <c r="H233" s="324">
        <v>24</v>
      </c>
      <c r="I233" s="325">
        <v>5.9202000000000004</v>
      </c>
      <c r="J233" s="326">
        <v>21.431999999999999</v>
      </c>
      <c r="K233" s="324">
        <v>96</v>
      </c>
      <c r="L233" s="325">
        <v>568.33920000000001</v>
      </c>
      <c r="M233" s="326">
        <v>2057.4699999999998</v>
      </c>
      <c r="N233" s="328"/>
    </row>
    <row r="234" spans="2:14" ht="15" customHeight="1" thickBot="1">
      <c r="B234" s="21" t="s">
        <v>213</v>
      </c>
      <c r="C234" s="76" t="s">
        <v>530</v>
      </c>
      <c r="D234" s="277" t="s">
        <v>531</v>
      </c>
      <c r="E234" s="267" t="s">
        <v>532</v>
      </c>
      <c r="F234" s="255" t="s">
        <v>109</v>
      </c>
      <c r="G234" s="226">
        <v>2.1</v>
      </c>
      <c r="H234" s="324">
        <v>16</v>
      </c>
      <c r="I234" s="325">
        <v>11.947900000000001</v>
      </c>
      <c r="J234" s="326">
        <v>32.527999999999999</v>
      </c>
      <c r="K234" s="324">
        <v>55</v>
      </c>
      <c r="L234" s="325">
        <v>657.13</v>
      </c>
      <c r="M234" s="326">
        <v>1789.04</v>
      </c>
      <c r="N234" s="328"/>
    </row>
    <row r="235" spans="2:14" ht="15.75" customHeight="1" thickBot="1">
      <c r="C235" s="78" t="s">
        <v>533</v>
      </c>
      <c r="D235" s="277" t="s">
        <v>534</v>
      </c>
      <c r="E235" s="267" t="s">
        <v>535</v>
      </c>
      <c r="F235" s="255" t="s">
        <v>108</v>
      </c>
      <c r="G235" s="226">
        <v>3.78</v>
      </c>
      <c r="H235" s="324">
        <v>16</v>
      </c>
      <c r="I235" s="325">
        <v>11.947900000000001</v>
      </c>
      <c r="J235" s="326">
        <v>32.591999999999999</v>
      </c>
      <c r="K235" s="324">
        <v>65</v>
      </c>
      <c r="L235" s="325">
        <v>776.61350000000004</v>
      </c>
      <c r="M235" s="326">
        <v>2118.48</v>
      </c>
      <c r="N235" s="328"/>
    </row>
    <row r="236" spans="2:14" ht="15.75" customHeight="1">
      <c r="C236" s="985"/>
      <c r="D236" s="243"/>
      <c r="E236" s="242"/>
      <c r="F236" s="243"/>
      <c r="G236" s="323"/>
      <c r="H236" s="243"/>
      <c r="I236" s="328"/>
      <c r="J236" s="328"/>
      <c r="K236" s="243"/>
      <c r="L236" s="328"/>
      <c r="M236" s="328"/>
      <c r="N236" s="328"/>
    </row>
    <row r="237" spans="2:14" ht="31.5" customHeight="1" thickBot="1">
      <c r="C237" s="977" t="s">
        <v>536</v>
      </c>
      <c r="D237" s="243"/>
      <c r="E237" s="242" t="s">
        <v>537</v>
      </c>
      <c r="F237" s="243"/>
      <c r="G237" s="323"/>
      <c r="H237" s="243"/>
      <c r="I237" s="328"/>
      <c r="J237" s="328"/>
      <c r="K237" s="243"/>
      <c r="L237" s="328"/>
      <c r="M237" s="328"/>
      <c r="N237" s="328"/>
    </row>
    <row r="238" spans="2:14" ht="15" customHeight="1" thickBot="1">
      <c r="C238" s="28" t="s">
        <v>103</v>
      </c>
      <c r="D238" s="32" t="s">
        <v>104</v>
      </c>
      <c r="E238" s="30" t="s">
        <v>105</v>
      </c>
      <c r="F238" s="32" t="s">
        <v>106</v>
      </c>
      <c r="G238" s="32" t="s">
        <v>107</v>
      </c>
      <c r="H238" s="43" t="s">
        <v>108</v>
      </c>
      <c r="I238" s="44" t="s">
        <v>109</v>
      </c>
      <c r="J238" s="55" t="s">
        <v>110</v>
      </c>
      <c r="K238" s="33" t="s">
        <v>111</v>
      </c>
      <c r="L238" s="34" t="s">
        <v>109</v>
      </c>
      <c r="M238" s="36" t="s">
        <v>110</v>
      </c>
      <c r="N238" s="37"/>
    </row>
    <row r="239" spans="2:14" ht="15" customHeight="1" thickBot="1">
      <c r="B239" s="602" t="s">
        <v>150</v>
      </c>
      <c r="C239" s="76" t="s">
        <v>538</v>
      </c>
      <c r="D239" s="1118" t="s">
        <v>114</v>
      </c>
      <c r="E239" s="240" t="s">
        <v>539</v>
      </c>
      <c r="F239" s="1118" t="s">
        <v>109</v>
      </c>
      <c r="G239" s="540">
        <v>2.7</v>
      </c>
      <c r="H239" s="1216">
        <v>6</v>
      </c>
      <c r="I239" s="1216">
        <v>11.63</v>
      </c>
      <c r="J239" s="1145">
        <v>48.49</v>
      </c>
      <c r="K239" s="1216">
        <v>48</v>
      </c>
      <c r="L239" s="1351">
        <v>558.24</v>
      </c>
      <c r="M239" s="1145">
        <v>2327.9</v>
      </c>
      <c r="N239" s="37"/>
    </row>
    <row r="240" spans="2:14" ht="15" customHeight="1" thickBot="1">
      <c r="B240" s="602" t="s">
        <v>150</v>
      </c>
      <c r="C240" s="77" t="s">
        <v>540</v>
      </c>
      <c r="D240" s="1120"/>
      <c r="E240" s="1" t="s">
        <v>541</v>
      </c>
      <c r="F240" s="1120"/>
      <c r="G240" s="227">
        <v>3</v>
      </c>
      <c r="H240" s="1712"/>
      <c r="I240" s="1712"/>
      <c r="J240" s="1715"/>
      <c r="K240" s="1712"/>
      <c r="L240" s="1714"/>
      <c r="M240" s="1715"/>
      <c r="N240" s="355"/>
    </row>
    <row r="241" spans="2:14" ht="15" customHeight="1" thickBot="1">
      <c r="B241" s="602" t="s">
        <v>150</v>
      </c>
      <c r="C241" s="223" t="s">
        <v>542</v>
      </c>
      <c r="D241" s="1118" t="s">
        <v>119</v>
      </c>
      <c r="E241" s="240" t="s">
        <v>543</v>
      </c>
      <c r="F241" s="1119" t="s">
        <v>109</v>
      </c>
      <c r="G241" s="540">
        <v>3</v>
      </c>
      <c r="H241" s="1216">
        <v>2</v>
      </c>
      <c r="I241" s="1216">
        <v>15.5</v>
      </c>
      <c r="J241" s="1145">
        <v>67.41</v>
      </c>
      <c r="K241" s="1216">
        <v>35</v>
      </c>
      <c r="L241" s="1351">
        <v>542.5</v>
      </c>
      <c r="M241" s="1145">
        <v>2359.42</v>
      </c>
      <c r="N241" s="355"/>
    </row>
    <row r="242" spans="2:14" ht="16.350000000000001" customHeight="1" thickBot="1">
      <c r="B242" s="602" t="s">
        <v>150</v>
      </c>
      <c r="C242" s="39" t="s">
        <v>544</v>
      </c>
      <c r="D242" s="1120"/>
      <c r="E242" s="1" t="s">
        <v>545</v>
      </c>
      <c r="F242" s="1120"/>
      <c r="G242" s="227">
        <v>3.3</v>
      </c>
      <c r="H242" s="1712"/>
      <c r="I242" s="1712"/>
      <c r="J242" s="1715"/>
      <c r="K242" s="1712"/>
      <c r="L242" s="1714"/>
      <c r="M242" s="1715"/>
      <c r="N242" s="355"/>
    </row>
    <row r="243" spans="2:14" ht="15.75" customHeight="1" thickBot="1">
      <c r="C243" s="985"/>
      <c r="D243" s="243"/>
      <c r="E243" s="242"/>
      <c r="F243" s="243"/>
      <c r="G243" s="323"/>
      <c r="H243" s="243"/>
      <c r="I243" s="328"/>
      <c r="J243" s="328"/>
      <c r="K243" s="243"/>
      <c r="L243" s="328"/>
      <c r="M243" s="328"/>
      <c r="N243" s="328"/>
    </row>
    <row r="244" spans="2:14" ht="32.1" customHeight="1" thickBot="1">
      <c r="C244" s="63" t="s">
        <v>546</v>
      </c>
      <c r="F244" s="243"/>
      <c r="G244" s="323"/>
      <c r="H244" s="1133" t="s">
        <v>101</v>
      </c>
      <c r="I244" s="1675"/>
      <c r="J244" s="1676"/>
      <c r="K244" s="1133" t="s">
        <v>102</v>
      </c>
      <c r="L244" s="1675"/>
      <c r="M244" s="1676"/>
      <c r="N244" s="37"/>
    </row>
    <row r="245" spans="2:14" ht="15" customHeight="1" thickBot="1">
      <c r="C245" s="28" t="s">
        <v>103</v>
      </c>
      <c r="D245" s="32" t="s">
        <v>104</v>
      </c>
      <c r="E245" s="30" t="s">
        <v>105</v>
      </c>
      <c r="F245" s="32" t="s">
        <v>106</v>
      </c>
      <c r="G245" s="32" t="s">
        <v>107</v>
      </c>
      <c r="H245" s="33" t="s">
        <v>108</v>
      </c>
      <c r="I245" s="34" t="s">
        <v>109</v>
      </c>
      <c r="J245" s="36" t="s">
        <v>110</v>
      </c>
      <c r="K245" s="33" t="s">
        <v>111</v>
      </c>
      <c r="L245" s="34" t="s">
        <v>109</v>
      </c>
      <c r="M245" s="36" t="s">
        <v>110</v>
      </c>
      <c r="N245" s="355"/>
    </row>
    <row r="246" spans="2:14" ht="15" customHeight="1" thickBot="1">
      <c r="B246" s="21" t="s">
        <v>547</v>
      </c>
      <c r="C246" s="257" t="s">
        <v>548</v>
      </c>
      <c r="D246" s="255" t="s">
        <v>114</v>
      </c>
      <c r="E246" s="257" t="s">
        <v>549</v>
      </c>
      <c r="F246" s="255" t="s">
        <v>109</v>
      </c>
      <c r="G246" s="545">
        <v>4.8</v>
      </c>
      <c r="H246" s="324">
        <v>10</v>
      </c>
      <c r="I246" s="325">
        <v>19.38</v>
      </c>
      <c r="J246" s="329">
        <v>72.2</v>
      </c>
      <c r="K246" s="324">
        <v>36</v>
      </c>
      <c r="L246" s="325">
        <v>697.5</v>
      </c>
      <c r="M246" s="329">
        <v>2599.1999999999998</v>
      </c>
      <c r="N246" s="355"/>
    </row>
    <row r="247" spans="2:14" ht="15" customHeight="1" thickBot="1">
      <c r="C247" s="882" t="s">
        <v>247</v>
      </c>
      <c r="D247" s="243"/>
      <c r="E247" s="51"/>
      <c r="F247" s="41"/>
      <c r="G247" s="41"/>
      <c r="H247" s="41"/>
      <c r="I247" s="52"/>
      <c r="J247" s="41"/>
      <c r="K247" s="41"/>
      <c r="L247" s="41"/>
      <c r="M247" s="41"/>
      <c r="N247" s="355"/>
    </row>
    <row r="248" spans="2:14" ht="32.1" customHeight="1" thickBot="1">
      <c r="C248" s="19" t="s">
        <v>550</v>
      </c>
      <c r="G248" s="549"/>
      <c r="H248" s="1133" t="s">
        <v>101</v>
      </c>
      <c r="I248" s="1675"/>
      <c r="J248" s="1676"/>
      <c r="K248" s="1133" t="s">
        <v>102</v>
      </c>
      <c r="L248" s="1675"/>
      <c r="M248" s="1676"/>
      <c r="N248" s="26"/>
    </row>
    <row r="249" spans="2:14" ht="15" customHeight="1" thickBot="1">
      <c r="C249" s="28" t="s">
        <v>103</v>
      </c>
      <c r="D249" s="32" t="s">
        <v>104</v>
      </c>
      <c r="E249" s="42" t="s">
        <v>105</v>
      </c>
      <c r="F249" s="32" t="s">
        <v>106</v>
      </c>
      <c r="G249" s="32" t="s">
        <v>107</v>
      </c>
      <c r="H249" s="33" t="s">
        <v>108</v>
      </c>
      <c r="I249" s="34" t="s">
        <v>109</v>
      </c>
      <c r="J249" s="36" t="s">
        <v>110</v>
      </c>
      <c r="K249" s="33" t="s">
        <v>111</v>
      </c>
      <c r="L249" s="34" t="s">
        <v>109</v>
      </c>
      <c r="M249" s="36" t="s">
        <v>110</v>
      </c>
      <c r="N249" s="37"/>
    </row>
    <row r="250" spans="2:14" ht="15.95" customHeight="1" thickBot="1">
      <c r="B250" s="603"/>
      <c r="C250" s="507" t="s">
        <v>551</v>
      </c>
      <c r="D250" s="1119" t="s">
        <v>152</v>
      </c>
      <c r="E250" s="241" t="s">
        <v>552</v>
      </c>
      <c r="F250" s="1119" t="s">
        <v>109</v>
      </c>
      <c r="G250" s="1180">
        <v>2.4</v>
      </c>
      <c r="H250" s="1288">
        <v>30</v>
      </c>
      <c r="I250" s="1125">
        <v>12.7</v>
      </c>
      <c r="J250" s="1310">
        <v>45</v>
      </c>
      <c r="K250" s="1288">
        <v>72</v>
      </c>
      <c r="L250" s="1250">
        <v>914.5</v>
      </c>
      <c r="M250" s="1310">
        <v>3240</v>
      </c>
      <c r="N250" s="355"/>
    </row>
    <row r="251" spans="2:14" ht="16.5" customHeight="1" thickBot="1">
      <c r="B251" s="603"/>
      <c r="C251" s="508" t="s">
        <v>553</v>
      </c>
      <c r="D251" s="1120"/>
      <c r="E251" s="241" t="s">
        <v>554</v>
      </c>
      <c r="F251" s="1119"/>
      <c r="G251" s="1697"/>
      <c r="H251" s="1691"/>
      <c r="I251" s="1691"/>
      <c r="J251" s="1705"/>
      <c r="K251" s="1691"/>
      <c r="L251" s="1718"/>
      <c r="M251" s="1705"/>
      <c r="N251" s="355"/>
    </row>
    <row r="252" spans="2:14" ht="16.5" customHeight="1" thickBot="1">
      <c r="B252" s="21" t="s">
        <v>112</v>
      </c>
      <c r="C252" s="81" t="s">
        <v>555</v>
      </c>
      <c r="D252" s="1118" t="s">
        <v>152</v>
      </c>
      <c r="E252" s="240" t="s">
        <v>556</v>
      </c>
      <c r="F252" s="1119"/>
      <c r="G252" s="1697"/>
      <c r="H252" s="1228">
        <v>34</v>
      </c>
      <c r="I252" s="1483">
        <v>14.449</v>
      </c>
      <c r="J252" s="1422">
        <f>M252/K252</f>
        <v>44.064</v>
      </c>
      <c r="K252" s="1228">
        <v>45</v>
      </c>
      <c r="L252" s="1279">
        <f>K252*I252</f>
        <v>650.20500000000004</v>
      </c>
      <c r="M252" s="1422">
        <v>1982.88</v>
      </c>
      <c r="N252" s="355"/>
    </row>
    <row r="253" spans="2:14" ht="16.5" customHeight="1">
      <c r="B253" s="603"/>
      <c r="C253" s="58" t="s">
        <v>557</v>
      </c>
      <c r="D253" s="1119"/>
      <c r="E253" s="241" t="s">
        <v>558</v>
      </c>
      <c r="F253" s="1119"/>
      <c r="G253" s="1697"/>
      <c r="H253" s="1686"/>
      <c r="I253" s="1686"/>
      <c r="J253" s="1689"/>
      <c r="K253" s="1686"/>
      <c r="L253" s="1687"/>
      <c r="M253" s="1689"/>
      <c r="N253" s="355"/>
    </row>
    <row r="254" spans="2:14" ht="16.5" customHeight="1">
      <c r="B254" s="603"/>
      <c r="C254" s="58" t="s">
        <v>559</v>
      </c>
      <c r="D254" s="1119"/>
      <c r="E254" s="241" t="s">
        <v>560</v>
      </c>
      <c r="F254" s="1119"/>
      <c r="G254" s="1697"/>
      <c r="H254" s="1686"/>
      <c r="I254" s="1686"/>
      <c r="J254" s="1689"/>
      <c r="K254" s="1686"/>
      <c r="L254" s="1687"/>
      <c r="M254" s="1689"/>
      <c r="N254" s="355"/>
    </row>
    <row r="255" spans="2:14" ht="16.5" customHeight="1">
      <c r="B255" s="603"/>
      <c r="C255" s="58" t="s">
        <v>561</v>
      </c>
      <c r="D255" s="1119"/>
      <c r="E255" s="241" t="s">
        <v>562</v>
      </c>
      <c r="F255" s="1119"/>
      <c r="G255" s="1697"/>
      <c r="H255" s="1686"/>
      <c r="I255" s="1686"/>
      <c r="J255" s="1689"/>
      <c r="K255" s="1686"/>
      <c r="L255" s="1687"/>
      <c r="M255" s="1689"/>
      <c r="N255" s="355"/>
    </row>
    <row r="256" spans="2:14" ht="16.5" customHeight="1">
      <c r="B256" s="603"/>
      <c r="C256" s="58" t="s">
        <v>563</v>
      </c>
      <c r="D256" s="1119"/>
      <c r="E256" s="241" t="s">
        <v>564</v>
      </c>
      <c r="F256" s="1119"/>
      <c r="G256" s="1697"/>
      <c r="H256" s="1686"/>
      <c r="I256" s="1686"/>
      <c r="J256" s="1689"/>
      <c r="K256" s="1686"/>
      <c r="L256" s="1687"/>
      <c r="M256" s="1689"/>
      <c r="N256" s="355"/>
    </row>
    <row r="257" spans="2:14" ht="16.5" customHeight="1">
      <c r="B257" s="603"/>
      <c r="C257" s="58" t="s">
        <v>565</v>
      </c>
      <c r="D257" s="1119"/>
      <c r="E257" s="241" t="s">
        <v>566</v>
      </c>
      <c r="F257" s="1119"/>
      <c r="G257" s="1697"/>
      <c r="H257" s="1686"/>
      <c r="I257" s="1686"/>
      <c r="J257" s="1689"/>
      <c r="K257" s="1686"/>
      <c r="L257" s="1687"/>
      <c r="M257" s="1689"/>
      <c r="N257" s="355"/>
    </row>
    <row r="258" spans="2:14" ht="16.5" customHeight="1">
      <c r="B258" s="1560"/>
      <c r="C258" s="58" t="s">
        <v>567</v>
      </c>
      <c r="D258" s="1119"/>
      <c r="E258" s="241" t="s">
        <v>568</v>
      </c>
      <c r="F258" s="1119"/>
      <c r="G258" s="1697"/>
      <c r="H258" s="1686"/>
      <c r="I258" s="1686"/>
      <c r="J258" s="1689"/>
      <c r="K258" s="1686"/>
      <c r="L258" s="1687"/>
      <c r="M258" s="1689"/>
      <c r="N258" s="355"/>
    </row>
    <row r="259" spans="2:14" ht="16.5" customHeight="1">
      <c r="B259" s="1560"/>
      <c r="C259" s="58" t="s">
        <v>569</v>
      </c>
      <c r="D259" s="1119"/>
      <c r="E259" s="241" t="s">
        <v>570</v>
      </c>
      <c r="F259" s="1119"/>
      <c r="G259" s="1697"/>
      <c r="H259" s="1686"/>
      <c r="I259" s="1686"/>
      <c r="J259" s="1689"/>
      <c r="K259" s="1686"/>
      <c r="L259" s="1687"/>
      <c r="M259" s="1689"/>
      <c r="N259" s="355"/>
    </row>
    <row r="260" spans="2:14" ht="16.5" customHeight="1" thickBot="1">
      <c r="B260" s="1560"/>
      <c r="C260" s="60" t="s">
        <v>571</v>
      </c>
      <c r="D260" s="1120"/>
      <c r="E260" s="1" t="s">
        <v>572</v>
      </c>
      <c r="F260" s="1119"/>
      <c r="G260" s="1700"/>
      <c r="H260" s="1690"/>
      <c r="I260" s="1690"/>
      <c r="J260" s="1694"/>
      <c r="K260" s="1690"/>
      <c r="L260" s="1692"/>
      <c r="M260" s="1694"/>
      <c r="N260" s="355"/>
    </row>
    <row r="261" spans="2:14" ht="16.5" customHeight="1" thickBot="1">
      <c r="B261" s="603"/>
      <c r="C261" s="508" t="s">
        <v>573</v>
      </c>
      <c r="D261" s="238" t="s">
        <v>574</v>
      </c>
      <c r="E261" s="268" t="s">
        <v>575</v>
      </c>
      <c r="F261" s="1119"/>
      <c r="G261" s="1180">
        <v>3</v>
      </c>
      <c r="H261" s="334">
        <v>28</v>
      </c>
      <c r="I261" s="1026">
        <v>10.35</v>
      </c>
      <c r="J261" s="336">
        <v>37.770000000000003</v>
      </c>
      <c r="K261" s="334">
        <v>60</v>
      </c>
      <c r="L261" s="530">
        <v>621.36</v>
      </c>
      <c r="M261" s="336">
        <v>2266.3200000000002</v>
      </c>
      <c r="N261" s="355"/>
    </row>
    <row r="262" spans="2:14" ht="16.5" customHeight="1" thickBot="1">
      <c r="B262" s="603"/>
      <c r="C262" s="81" t="s">
        <v>576</v>
      </c>
      <c r="D262" s="1118" t="s">
        <v>574</v>
      </c>
      <c r="E262" s="240" t="s">
        <v>577</v>
      </c>
      <c r="F262" s="1119"/>
      <c r="G262" s="1697"/>
      <c r="H262" s="1117">
        <v>33</v>
      </c>
      <c r="I262" s="1128">
        <v>12.159000000000001</v>
      </c>
      <c r="J262" s="1116">
        <f>M262/K262</f>
        <v>38.04911111111111</v>
      </c>
      <c r="K262" s="1117">
        <v>45</v>
      </c>
      <c r="L262" s="1176">
        <v>547.16</v>
      </c>
      <c r="M262" s="1116">
        <v>1712.21</v>
      </c>
      <c r="N262" s="355"/>
    </row>
    <row r="263" spans="2:14" ht="16.5" customHeight="1">
      <c r="B263" s="603"/>
      <c r="C263" s="58" t="s">
        <v>578</v>
      </c>
      <c r="D263" s="1119"/>
      <c r="E263" s="268" t="s">
        <v>575</v>
      </c>
      <c r="F263" s="1119"/>
      <c r="G263" s="1697"/>
      <c r="H263" s="1686"/>
      <c r="I263" s="1686"/>
      <c r="J263" s="1689"/>
      <c r="K263" s="1686"/>
      <c r="L263" s="1687"/>
      <c r="M263" s="1689"/>
      <c r="N263" s="355"/>
    </row>
    <row r="264" spans="2:14" ht="16.5" customHeight="1" thickBot="1">
      <c r="B264" s="604"/>
      <c r="C264" s="60" t="s">
        <v>579</v>
      </c>
      <c r="D264" s="1120"/>
      <c r="E264" s="1" t="s">
        <v>580</v>
      </c>
      <c r="F264" s="1120"/>
      <c r="G264" s="1700"/>
      <c r="H264" s="1690"/>
      <c r="I264" s="1690"/>
      <c r="J264" s="1694"/>
      <c r="K264" s="1690"/>
      <c r="L264" s="1692"/>
      <c r="M264" s="1694"/>
      <c r="N264" s="355"/>
    </row>
    <row r="265" spans="2:14" ht="15" customHeight="1" thickBot="1">
      <c r="C265" s="256"/>
      <c r="D265" s="243"/>
      <c r="E265" s="242"/>
      <c r="F265" s="243"/>
      <c r="G265" s="323"/>
      <c r="H265" s="243"/>
      <c r="I265" s="328"/>
      <c r="J265" s="328"/>
      <c r="K265" s="243"/>
      <c r="L265" s="243"/>
      <c r="M265" s="328"/>
      <c r="N265" s="355"/>
    </row>
    <row r="266" spans="2:14" ht="32.1" customHeight="1" thickBot="1">
      <c r="B266" s="25"/>
      <c r="C266" s="63" t="s">
        <v>581</v>
      </c>
      <c r="D266" s="230"/>
      <c r="G266" s="549"/>
      <c r="H266" s="1133" t="s">
        <v>101</v>
      </c>
      <c r="I266" s="1675"/>
      <c r="J266" s="1676"/>
      <c r="K266" s="1133" t="s">
        <v>102</v>
      </c>
      <c r="L266" s="1675"/>
      <c r="M266" s="1676"/>
      <c r="N266" s="26"/>
    </row>
    <row r="267" spans="2:14" ht="15" customHeight="1" thickBot="1">
      <c r="C267" s="28" t="s">
        <v>103</v>
      </c>
      <c r="D267" s="32" t="s">
        <v>104</v>
      </c>
      <c r="E267" s="30" t="s">
        <v>105</v>
      </c>
      <c r="F267" s="31" t="s">
        <v>106</v>
      </c>
      <c r="G267" s="32" t="s">
        <v>107</v>
      </c>
      <c r="H267" s="43" t="s">
        <v>108</v>
      </c>
      <c r="I267" s="44" t="s">
        <v>109</v>
      </c>
      <c r="J267" s="55" t="s">
        <v>110</v>
      </c>
      <c r="K267" s="43" t="s">
        <v>111</v>
      </c>
      <c r="L267" s="44" t="s">
        <v>109</v>
      </c>
      <c r="M267" s="55" t="s">
        <v>110</v>
      </c>
      <c r="N267" s="37"/>
    </row>
    <row r="268" spans="2:14" ht="15.95" customHeight="1" thickBot="1">
      <c r="B268" s="21" t="s">
        <v>213</v>
      </c>
      <c r="C268" s="81" t="s">
        <v>582</v>
      </c>
      <c r="D268" s="1259" t="s">
        <v>178</v>
      </c>
      <c r="E268" s="81" t="s">
        <v>583</v>
      </c>
      <c r="F268" s="1118" t="s">
        <v>109</v>
      </c>
      <c r="G268" s="1170">
        <v>2.64</v>
      </c>
      <c r="H268" s="1117">
        <v>50</v>
      </c>
      <c r="I268" s="1128">
        <v>12.7</v>
      </c>
      <c r="J268" s="1116">
        <v>29.95</v>
      </c>
      <c r="K268" s="1117">
        <v>78</v>
      </c>
      <c r="L268" s="1114">
        <v>990.71</v>
      </c>
      <c r="M268" s="1116">
        <v>2336.1</v>
      </c>
      <c r="N268" s="328"/>
    </row>
    <row r="269" spans="2:14" ht="15.95" customHeight="1">
      <c r="B269" s="51"/>
      <c r="C269" s="58" t="s">
        <v>584</v>
      </c>
      <c r="D269" s="1260"/>
      <c r="E269" s="58" t="s">
        <v>585</v>
      </c>
      <c r="F269" s="1119"/>
      <c r="G269" s="1697"/>
      <c r="H269" s="1686"/>
      <c r="I269" s="1686"/>
      <c r="J269" s="1689"/>
      <c r="K269" s="1686"/>
      <c r="L269" s="1687"/>
      <c r="M269" s="1689"/>
      <c r="N269" s="328"/>
    </row>
    <row r="270" spans="2:14" ht="15.75" customHeight="1" thickBot="1">
      <c r="B270" s="51"/>
      <c r="C270" s="60" t="s">
        <v>586</v>
      </c>
      <c r="D270" s="1261"/>
      <c r="E270" s="60" t="s">
        <v>587</v>
      </c>
      <c r="F270" s="1120"/>
      <c r="G270" s="1700"/>
      <c r="H270" s="1690"/>
      <c r="I270" s="1690"/>
      <c r="J270" s="1694"/>
      <c r="K270" s="1690"/>
      <c r="L270" s="1692"/>
      <c r="M270" s="1694"/>
      <c r="N270" s="328"/>
    </row>
    <row r="271" spans="2:14" ht="15" customHeight="1" thickBot="1">
      <c r="C271" s="63"/>
      <c r="D271" s="243"/>
      <c r="E271" s="242"/>
      <c r="F271" s="243"/>
      <c r="G271" s="323"/>
      <c r="H271" s="243"/>
      <c r="I271" s="328"/>
      <c r="J271" s="328"/>
      <c r="K271" s="243"/>
      <c r="L271" s="243"/>
      <c r="M271" s="328"/>
      <c r="N271" s="355"/>
    </row>
    <row r="272" spans="2:14" ht="32.1" customHeight="1" thickBot="1">
      <c r="B272" s="25"/>
      <c r="C272" s="63" t="s">
        <v>588</v>
      </c>
      <c r="D272" s="230"/>
      <c r="G272" s="549"/>
      <c r="H272" s="1133" t="s">
        <v>101</v>
      </c>
      <c r="I272" s="1675"/>
      <c r="J272" s="1676"/>
      <c r="K272" s="1133" t="s">
        <v>102</v>
      </c>
      <c r="L272" s="1675"/>
      <c r="M272" s="1676"/>
      <c r="N272" s="26"/>
    </row>
    <row r="273" spans="2:14" ht="15" customHeight="1" thickBot="1">
      <c r="C273" s="28" t="s">
        <v>103</v>
      </c>
      <c r="D273" s="32" t="s">
        <v>104</v>
      </c>
      <c r="E273" s="30" t="s">
        <v>105</v>
      </c>
      <c r="F273" s="31" t="s">
        <v>106</v>
      </c>
      <c r="G273" s="32" t="s">
        <v>107</v>
      </c>
      <c r="H273" s="43" t="s">
        <v>108</v>
      </c>
      <c r="I273" s="44" t="s">
        <v>109</v>
      </c>
      <c r="J273" s="55" t="s">
        <v>110</v>
      </c>
      <c r="K273" s="43" t="s">
        <v>111</v>
      </c>
      <c r="L273" s="44" t="s">
        <v>109</v>
      </c>
      <c r="M273" s="55" t="s">
        <v>110</v>
      </c>
      <c r="N273" s="37"/>
    </row>
    <row r="274" spans="2:14" ht="16.5" customHeight="1" thickBot="1">
      <c r="B274" s="21" t="s">
        <v>213</v>
      </c>
      <c r="C274" s="81" t="s">
        <v>589</v>
      </c>
      <c r="D274" s="1259" t="s">
        <v>241</v>
      </c>
      <c r="E274" s="57" t="s">
        <v>590</v>
      </c>
      <c r="F274" s="1118" t="s">
        <v>109</v>
      </c>
      <c r="G274" s="1170">
        <v>2.4</v>
      </c>
      <c r="H274" s="1117">
        <v>32</v>
      </c>
      <c r="I274" s="1128">
        <v>11.52</v>
      </c>
      <c r="J274" s="1116">
        <v>29.6</v>
      </c>
      <c r="K274" s="1117">
        <v>75</v>
      </c>
      <c r="L274" s="1114">
        <v>863.5</v>
      </c>
      <c r="M274" s="1116">
        <v>2217.6</v>
      </c>
      <c r="N274" s="328"/>
    </row>
    <row r="275" spans="2:14" ht="15.95" customHeight="1">
      <c r="B275" s="51"/>
      <c r="C275" s="58" t="s">
        <v>591</v>
      </c>
      <c r="D275" s="1260"/>
      <c r="E275" s="59" t="s">
        <v>592</v>
      </c>
      <c r="F275" s="1119"/>
      <c r="G275" s="1697"/>
      <c r="H275" s="1686"/>
      <c r="I275" s="1686"/>
      <c r="J275" s="1689"/>
      <c r="K275" s="1686"/>
      <c r="L275" s="1687"/>
      <c r="M275" s="1689"/>
      <c r="N275" s="328"/>
    </row>
    <row r="276" spans="2:14" ht="15.95" customHeight="1">
      <c r="B276" s="51"/>
      <c r="C276" s="610" t="s">
        <v>593</v>
      </c>
      <c r="D276" s="1260"/>
      <c r="E276" s="59" t="s">
        <v>594</v>
      </c>
      <c r="F276" s="1119"/>
      <c r="G276" s="1697"/>
      <c r="H276" s="1686"/>
      <c r="I276" s="1686"/>
      <c r="J276" s="1689"/>
      <c r="K276" s="1686"/>
      <c r="L276" s="1687"/>
      <c r="M276" s="1689"/>
      <c r="N276" s="328"/>
    </row>
    <row r="277" spans="2:14" ht="15.75" customHeight="1" thickBot="1">
      <c r="B277" s="51"/>
      <c r="C277" s="60" t="s">
        <v>595</v>
      </c>
      <c r="D277" s="1261"/>
      <c r="E277" s="60" t="s">
        <v>596</v>
      </c>
      <c r="F277" s="1120"/>
      <c r="G277" s="1700"/>
      <c r="H277" s="1690"/>
      <c r="I277" s="1690"/>
      <c r="J277" s="1694"/>
      <c r="K277" s="1690"/>
      <c r="L277" s="1692"/>
      <c r="M277" s="1694"/>
      <c r="N277" s="328"/>
    </row>
    <row r="278" spans="2:14" ht="15" customHeight="1" thickBot="1">
      <c r="C278" s="882"/>
      <c r="D278" s="243"/>
      <c r="E278" s="242"/>
      <c r="F278" s="243"/>
      <c r="G278" s="323"/>
      <c r="H278" s="243"/>
      <c r="I278" s="328"/>
      <c r="J278" s="328"/>
      <c r="K278" s="243"/>
      <c r="L278" s="243"/>
      <c r="M278" s="328"/>
      <c r="N278" s="355"/>
    </row>
    <row r="279" spans="2:14" ht="32.1" customHeight="1" thickBot="1">
      <c r="C279" s="63" t="s">
        <v>597</v>
      </c>
      <c r="E279" s="22"/>
      <c r="G279" s="549"/>
      <c r="H279" s="1133" t="s">
        <v>101</v>
      </c>
      <c r="I279" s="1675"/>
      <c r="J279" s="1676"/>
      <c r="K279" s="1133" t="s">
        <v>102</v>
      </c>
      <c r="L279" s="1675"/>
      <c r="M279" s="1676"/>
      <c r="N279" s="26"/>
    </row>
    <row r="280" spans="2:14" ht="15" customHeight="1" thickBot="1">
      <c r="C280" s="82" t="s">
        <v>103</v>
      </c>
      <c r="D280" s="31" t="s">
        <v>104</v>
      </c>
      <c r="E280" s="83" t="s">
        <v>105</v>
      </c>
      <c r="F280" s="31" t="s">
        <v>106</v>
      </c>
      <c r="G280" s="32" t="s">
        <v>107</v>
      </c>
      <c r="H280" s="43" t="s">
        <v>108</v>
      </c>
      <c r="I280" s="44" t="s">
        <v>109</v>
      </c>
      <c r="J280" s="55" t="s">
        <v>110</v>
      </c>
      <c r="K280" s="43" t="s">
        <v>111</v>
      </c>
      <c r="L280" s="44" t="s">
        <v>109</v>
      </c>
      <c r="M280" s="55" t="s">
        <v>110</v>
      </c>
      <c r="N280" s="37"/>
    </row>
    <row r="281" spans="2:14">
      <c r="B281" s="21" t="s">
        <v>598</v>
      </c>
      <c r="C281" s="314" t="s">
        <v>599</v>
      </c>
      <c r="D281" s="1118" t="s">
        <v>250</v>
      </c>
      <c r="E281" s="1198" t="s">
        <v>600</v>
      </c>
      <c r="F281" s="1143" t="s">
        <v>108</v>
      </c>
      <c r="G281" s="1215">
        <v>3.3</v>
      </c>
      <c r="H281" s="1365">
        <v>20</v>
      </c>
      <c r="I281" s="1375">
        <v>18.783000000000001</v>
      </c>
      <c r="J281" s="1150">
        <v>47.62</v>
      </c>
      <c r="K281" s="1365">
        <v>54</v>
      </c>
      <c r="L281" s="1514">
        <v>1014.282</v>
      </c>
      <c r="M281" s="1515">
        <v>2571.48</v>
      </c>
      <c r="N281" s="37"/>
    </row>
    <row r="282" spans="2:14" ht="15" customHeight="1" thickBot="1">
      <c r="C282" s="439" t="s">
        <v>601</v>
      </c>
      <c r="D282" s="1119"/>
      <c r="E282" s="1199"/>
      <c r="F282" s="1144"/>
      <c r="G282" s="1697"/>
      <c r="H282" s="1686"/>
      <c r="I282" s="1686"/>
      <c r="J282" s="1689"/>
      <c r="K282" s="1686"/>
      <c r="L282" s="1687"/>
      <c r="M282" s="1689"/>
      <c r="N282" s="37"/>
    </row>
    <row r="283" spans="2:14">
      <c r="C283" s="84" t="s">
        <v>602</v>
      </c>
      <c r="D283" s="1119"/>
      <c r="E283" s="1456" t="s">
        <v>603</v>
      </c>
      <c r="F283" s="1144"/>
      <c r="G283" s="1697"/>
      <c r="H283" s="1686"/>
      <c r="I283" s="1686"/>
      <c r="J283" s="1689"/>
      <c r="K283" s="1686"/>
      <c r="L283" s="1687"/>
      <c r="M283" s="1689"/>
      <c r="N283" s="355"/>
    </row>
    <row r="284" spans="2:14" ht="15" customHeight="1" thickBot="1">
      <c r="C284" s="85" t="s">
        <v>604</v>
      </c>
      <c r="D284" s="1119"/>
      <c r="E284" s="1457"/>
      <c r="F284" s="1144"/>
      <c r="G284" s="1697"/>
      <c r="H284" s="1686"/>
      <c r="I284" s="1686"/>
      <c r="J284" s="1689"/>
      <c r="K284" s="1686"/>
      <c r="L284" s="1687"/>
      <c r="M284" s="1689"/>
      <c r="N284" s="355"/>
    </row>
    <row r="285" spans="2:14" ht="15" customHeight="1" thickBot="1">
      <c r="C285" s="85" t="s">
        <v>605</v>
      </c>
      <c r="D285" s="1119"/>
      <c r="E285" s="1068" t="s">
        <v>606</v>
      </c>
      <c r="F285" s="1412"/>
      <c r="G285" s="1697"/>
      <c r="H285" s="372"/>
      <c r="I285" s="373"/>
      <c r="J285" s="338"/>
      <c r="K285" s="372"/>
      <c r="L285" s="500"/>
      <c r="M285" s="501"/>
      <c r="N285" s="355"/>
    </row>
    <row r="286" spans="2:14" ht="15" thickBot="1">
      <c r="C286" s="84" t="s">
        <v>607</v>
      </c>
      <c r="D286" s="1119"/>
      <c r="E286" s="1067" t="s">
        <v>608</v>
      </c>
      <c r="F286" s="1412"/>
      <c r="G286" s="1697"/>
      <c r="H286" s="1117">
        <v>20</v>
      </c>
      <c r="I286" s="1128">
        <v>19.805599999999998</v>
      </c>
      <c r="J286" s="1116">
        <v>45.2</v>
      </c>
      <c r="K286" s="1117">
        <v>54</v>
      </c>
      <c r="L286" s="1114">
        <v>1069.5024000000001</v>
      </c>
      <c r="M286" s="1116">
        <v>2440.8000000000002</v>
      </c>
      <c r="N286" s="355"/>
    </row>
    <row r="287" spans="2:14" ht="15" customHeight="1" thickBot="1">
      <c r="C287" s="269" t="s">
        <v>609</v>
      </c>
      <c r="D287" s="1119"/>
      <c r="E287" s="1069" t="s">
        <v>610</v>
      </c>
      <c r="F287" s="1412"/>
      <c r="G287" s="1697"/>
      <c r="H287" s="1686"/>
      <c r="I287" s="1686"/>
      <c r="J287" s="1689"/>
      <c r="K287" s="1686"/>
      <c r="L287" s="1687"/>
      <c r="M287" s="1689"/>
      <c r="N287" s="355"/>
    </row>
    <row r="288" spans="2:14" ht="15" customHeight="1" thickBot="1">
      <c r="C288" s="250" t="s">
        <v>611</v>
      </c>
      <c r="D288" s="1119"/>
      <c r="E288" s="1198" t="s">
        <v>612</v>
      </c>
      <c r="F288" s="1412"/>
      <c r="G288" s="1697"/>
      <c r="H288" s="1690"/>
      <c r="I288" s="1690"/>
      <c r="J288" s="1694"/>
      <c r="K288" s="1690"/>
      <c r="L288" s="1692"/>
      <c r="M288" s="1694"/>
      <c r="N288" s="355"/>
    </row>
    <row r="289" spans="3:14" ht="15" customHeight="1" thickBot="1">
      <c r="C289" s="252" t="s">
        <v>613</v>
      </c>
      <c r="D289" s="1119"/>
      <c r="E289" s="1199"/>
      <c r="F289" s="1412"/>
      <c r="G289" s="1697"/>
      <c r="H289" s="332"/>
      <c r="I289" s="333"/>
      <c r="J289" s="338"/>
      <c r="K289" s="332"/>
      <c r="L289" s="333"/>
      <c r="M289" s="338"/>
      <c r="N289" s="355"/>
    </row>
    <row r="290" spans="3:14" ht="15" customHeight="1" thickBot="1">
      <c r="C290" s="524" t="s">
        <v>614</v>
      </c>
      <c r="D290" s="1119"/>
      <c r="E290" s="1069" t="s">
        <v>615</v>
      </c>
      <c r="F290" s="1144"/>
      <c r="G290" s="1697"/>
      <c r="H290" s="1241">
        <v>20</v>
      </c>
      <c r="I290" s="1128">
        <v>16.791699999999999</v>
      </c>
      <c r="J290" s="1150">
        <v>35.28</v>
      </c>
      <c r="K290" s="1117">
        <v>54</v>
      </c>
      <c r="L290" s="1114">
        <v>906.7518</v>
      </c>
      <c r="M290" s="1116">
        <v>1905.12</v>
      </c>
      <c r="N290" s="355"/>
    </row>
    <row r="291" spans="3:14">
      <c r="C291" s="250" t="s">
        <v>616</v>
      </c>
      <c r="D291" s="1119"/>
      <c r="E291" s="1198" t="s">
        <v>617</v>
      </c>
      <c r="F291" s="1144"/>
      <c r="G291" s="1697"/>
      <c r="H291" s="1686"/>
      <c r="I291" s="1686"/>
      <c r="J291" s="1689"/>
      <c r="K291" s="1686"/>
      <c r="L291" s="1687"/>
      <c r="M291" s="1689"/>
      <c r="N291" s="355"/>
    </row>
    <row r="292" spans="3:14" ht="15" customHeight="1" thickBot="1">
      <c r="C292" s="252" t="s">
        <v>618</v>
      </c>
      <c r="D292" s="1119"/>
      <c r="E292" s="1199"/>
      <c r="F292" s="1144"/>
      <c r="G292" s="1697"/>
      <c r="H292" s="1686"/>
      <c r="I292" s="1686"/>
      <c r="J292" s="1689"/>
      <c r="K292" s="1686"/>
      <c r="L292" s="1687"/>
      <c r="M292" s="1689"/>
      <c r="N292" s="355"/>
    </row>
    <row r="293" spans="3:14" ht="15" customHeight="1" thickBot="1">
      <c r="C293" s="86" t="s">
        <v>619</v>
      </c>
      <c r="D293" s="1119"/>
      <c r="E293" s="1070" t="s">
        <v>620</v>
      </c>
      <c r="F293" s="1144"/>
      <c r="G293" s="1697"/>
      <c r="H293" s="1686"/>
      <c r="I293" s="1690"/>
      <c r="J293" s="1689"/>
      <c r="K293" s="1690"/>
      <c r="L293" s="1692"/>
      <c r="M293" s="1694"/>
      <c r="N293" s="355"/>
    </row>
    <row r="294" spans="3:14">
      <c r="C294" s="86" t="s">
        <v>621</v>
      </c>
      <c r="D294" s="1119"/>
      <c r="E294" s="1071" t="s">
        <v>622</v>
      </c>
      <c r="F294" s="1144"/>
      <c r="G294" s="1697"/>
      <c r="H294" s="1142">
        <v>20</v>
      </c>
      <c r="I294" s="1454">
        <v>19.934799999999999</v>
      </c>
      <c r="J294" s="1249">
        <v>38.58</v>
      </c>
      <c r="K294" s="1142">
        <v>54</v>
      </c>
      <c r="L294" s="1469">
        <v>1076.4792</v>
      </c>
      <c r="M294" s="1567">
        <v>2083.3200000000002</v>
      </c>
      <c r="N294" s="355"/>
    </row>
    <row r="295" spans="3:14">
      <c r="C295" s="86" t="s">
        <v>623</v>
      </c>
      <c r="D295" s="1119"/>
      <c r="E295" s="1071" t="s">
        <v>624</v>
      </c>
      <c r="F295" s="1144"/>
      <c r="G295" s="1697"/>
      <c r="H295" s="1686"/>
      <c r="I295" s="1686"/>
      <c r="J295" s="1689"/>
      <c r="K295" s="1686"/>
      <c r="L295" s="1687"/>
      <c r="M295" s="1689"/>
      <c r="N295" s="355"/>
    </row>
    <row r="296" spans="3:14">
      <c r="C296" s="241" t="s">
        <v>625</v>
      </c>
      <c r="D296" s="1119"/>
      <c r="E296" s="280" t="s">
        <v>626</v>
      </c>
      <c r="F296" s="1144"/>
      <c r="G296" s="1697"/>
      <c r="H296" s="1686"/>
      <c r="I296" s="1686"/>
      <c r="J296" s="1689"/>
      <c r="K296" s="1686"/>
      <c r="L296" s="1687"/>
      <c r="M296" s="1689"/>
      <c r="N296" s="355"/>
    </row>
    <row r="297" spans="3:14">
      <c r="C297" s="86" t="s">
        <v>627</v>
      </c>
      <c r="D297" s="1119"/>
      <c r="E297" s="1071" t="s">
        <v>628</v>
      </c>
      <c r="F297" s="1144"/>
      <c r="G297" s="1697"/>
      <c r="H297" s="1686"/>
      <c r="I297" s="1686"/>
      <c r="J297" s="1689"/>
      <c r="K297" s="1686"/>
      <c r="L297" s="1687"/>
      <c r="M297" s="1689"/>
      <c r="N297" s="355"/>
    </row>
    <row r="298" spans="3:14">
      <c r="C298" s="86" t="s">
        <v>629</v>
      </c>
      <c r="D298" s="1119"/>
      <c r="E298" s="1071" t="s">
        <v>630</v>
      </c>
      <c r="F298" s="1144"/>
      <c r="G298" s="1697"/>
      <c r="H298" s="1686"/>
      <c r="I298" s="1686"/>
      <c r="J298" s="1689"/>
      <c r="K298" s="1686"/>
      <c r="L298" s="1687"/>
      <c r="M298" s="1689"/>
      <c r="N298" s="355"/>
    </row>
    <row r="299" spans="3:14" ht="15" customHeight="1" thickBot="1">
      <c r="C299" s="86" t="s">
        <v>631</v>
      </c>
      <c r="D299" s="1119"/>
      <c r="E299" s="280" t="s">
        <v>632</v>
      </c>
      <c r="F299" s="1144"/>
      <c r="G299" s="1719"/>
      <c r="H299" s="1691"/>
      <c r="I299" s="1691"/>
      <c r="J299" s="1705"/>
      <c r="K299" s="1691"/>
      <c r="L299" s="1718"/>
      <c r="M299" s="1705"/>
      <c r="N299" s="355"/>
    </row>
    <row r="300" spans="3:14" ht="15" customHeight="1" thickBot="1">
      <c r="C300" s="265" t="s">
        <v>633</v>
      </c>
      <c r="D300" s="1119"/>
      <c r="E300" s="279" t="s">
        <v>634</v>
      </c>
      <c r="F300" s="1144"/>
      <c r="G300" s="1170">
        <v>3</v>
      </c>
      <c r="H300" s="324">
        <v>20</v>
      </c>
      <c r="I300" s="325">
        <v>17.222300000000001</v>
      </c>
      <c r="J300" s="329">
        <v>45.2</v>
      </c>
      <c r="K300" s="368">
        <v>54</v>
      </c>
      <c r="L300" s="350">
        <v>930.00419999999997</v>
      </c>
      <c r="M300" s="326">
        <v>2440.8000000000002</v>
      </c>
      <c r="N300" s="355"/>
    </row>
    <row r="301" spans="3:14" ht="15" customHeight="1" thickBot="1">
      <c r="C301" s="252" t="s">
        <v>635</v>
      </c>
      <c r="D301" s="1334"/>
      <c r="E301" s="1037" t="s">
        <v>636</v>
      </c>
      <c r="F301" s="1144"/>
      <c r="G301" s="1697"/>
      <c r="H301" s="332"/>
      <c r="I301" s="1025"/>
      <c r="J301" s="338"/>
      <c r="K301" s="332"/>
      <c r="L301" s="333"/>
      <c r="M301" s="338"/>
      <c r="N301" s="355"/>
    </row>
    <row r="302" spans="3:14" ht="15" thickBot="1">
      <c r="C302" s="251" t="s">
        <v>637</v>
      </c>
      <c r="D302" s="1119"/>
      <c r="E302" s="287" t="s">
        <v>638</v>
      </c>
      <c r="F302" s="1144"/>
      <c r="G302" s="1697"/>
      <c r="H302" s="1117">
        <v>20</v>
      </c>
      <c r="I302" s="1128">
        <v>19.38</v>
      </c>
      <c r="J302" s="1116">
        <v>47.4</v>
      </c>
      <c r="K302" s="1117">
        <v>54</v>
      </c>
      <c r="L302" s="1114">
        <v>1046.25</v>
      </c>
      <c r="M302" s="1116">
        <v>2559.6</v>
      </c>
      <c r="N302" s="355"/>
    </row>
    <row r="303" spans="3:14" ht="15" customHeight="1" thickBot="1">
      <c r="C303" s="251" t="s">
        <v>639</v>
      </c>
      <c r="D303" s="1119"/>
      <c r="E303" s="287" t="s">
        <v>640</v>
      </c>
      <c r="F303" s="1144"/>
      <c r="G303" s="1697"/>
      <c r="H303" s="1690"/>
      <c r="I303" s="1690"/>
      <c r="J303" s="1694"/>
      <c r="K303" s="1690"/>
      <c r="L303" s="1692"/>
      <c r="M303" s="1694"/>
      <c r="N303" s="355"/>
    </row>
    <row r="304" spans="3:14" ht="15" customHeight="1" thickBot="1">
      <c r="C304" s="251" t="s">
        <v>641</v>
      </c>
      <c r="D304" s="1119"/>
      <c r="E304" s="287" t="s">
        <v>642</v>
      </c>
      <c r="F304" s="1144"/>
      <c r="G304" s="1700"/>
      <c r="H304" s="368">
        <v>20</v>
      </c>
      <c r="I304" s="350">
        <v>15.5</v>
      </c>
      <c r="J304" s="326">
        <v>37.479999999999997</v>
      </c>
      <c r="K304" s="368">
        <v>54</v>
      </c>
      <c r="L304" s="350">
        <v>837</v>
      </c>
      <c r="M304" s="326">
        <v>2023.92</v>
      </c>
      <c r="N304" s="355"/>
    </row>
    <row r="305" spans="2:14" ht="15" customHeight="1" thickBot="1">
      <c r="C305" s="251" t="s">
        <v>643</v>
      </c>
      <c r="D305" s="1119"/>
      <c r="E305" s="287" t="s">
        <v>644</v>
      </c>
      <c r="F305" s="1144"/>
      <c r="G305" s="555">
        <v>4.5</v>
      </c>
      <c r="H305" s="330">
        <v>20</v>
      </c>
      <c r="I305" s="331">
        <v>16.791699999999999</v>
      </c>
      <c r="J305" s="337">
        <v>35.28</v>
      </c>
      <c r="K305" s="330">
        <v>54</v>
      </c>
      <c r="L305" s="363">
        <v>906.66</v>
      </c>
      <c r="M305" s="364">
        <v>1905.12</v>
      </c>
      <c r="N305" s="355"/>
    </row>
    <row r="306" spans="2:14" ht="15" customHeight="1" thickBot="1">
      <c r="C306" s="265" t="s">
        <v>645</v>
      </c>
      <c r="D306" s="1119"/>
      <c r="E306" s="1073" t="s">
        <v>646</v>
      </c>
      <c r="F306" s="1144"/>
      <c r="G306" s="226">
        <v>4.5</v>
      </c>
      <c r="H306" s="330">
        <v>20</v>
      </c>
      <c r="I306" s="331">
        <v>19.159800000000001</v>
      </c>
      <c r="J306" s="337">
        <v>44.82</v>
      </c>
      <c r="K306" s="330">
        <v>54</v>
      </c>
      <c r="L306" s="363">
        <v>1034.6292000000001</v>
      </c>
      <c r="M306" s="364">
        <v>2420.2800000000002</v>
      </c>
      <c r="N306" s="355"/>
    </row>
    <row r="307" spans="2:14" ht="15" thickBot="1">
      <c r="C307" s="250" t="s">
        <v>647</v>
      </c>
      <c r="D307" s="1119"/>
      <c r="E307" s="1198" t="s">
        <v>648</v>
      </c>
      <c r="F307" s="1144"/>
      <c r="G307" s="1277">
        <v>4.2</v>
      </c>
      <c r="H307" s="1127">
        <v>22</v>
      </c>
      <c r="I307" s="1218">
        <v>13.02</v>
      </c>
      <c r="J307" s="1218">
        <v>29.76</v>
      </c>
      <c r="K307" s="1127">
        <v>54</v>
      </c>
      <c r="L307" s="1218">
        <v>703.31</v>
      </c>
      <c r="M307" s="1218">
        <v>1607.17</v>
      </c>
      <c r="N307" s="355"/>
    </row>
    <row r="308" spans="2:14" ht="15" customHeight="1" thickBot="1">
      <c r="C308" s="252" t="s">
        <v>649</v>
      </c>
      <c r="D308" s="1119"/>
      <c r="E308" s="1199"/>
      <c r="F308" s="1144"/>
      <c r="G308" s="1697"/>
      <c r="H308" s="1718"/>
      <c r="I308" s="1718"/>
      <c r="J308" s="1718"/>
      <c r="K308" s="1718"/>
      <c r="L308" s="1718"/>
      <c r="M308" s="1718"/>
      <c r="N308" s="355"/>
    </row>
    <row r="309" spans="2:14" ht="15" customHeight="1" thickBot="1">
      <c r="C309" s="288" t="s">
        <v>650</v>
      </c>
      <c r="D309" s="1119"/>
      <c r="E309" s="1072" t="s">
        <v>651</v>
      </c>
      <c r="F309" s="1144"/>
      <c r="G309" s="1700"/>
      <c r="H309" s="334">
        <v>20</v>
      </c>
      <c r="I309" s="1026">
        <v>11.94</v>
      </c>
      <c r="J309" s="336">
        <v>27.06</v>
      </c>
      <c r="K309" s="334">
        <v>72</v>
      </c>
      <c r="L309" s="335">
        <v>859.68</v>
      </c>
      <c r="M309" s="336">
        <v>1948.32</v>
      </c>
      <c r="N309" s="355"/>
    </row>
    <row r="310" spans="2:14" ht="15" customHeight="1" thickBot="1">
      <c r="C310" s="252" t="s">
        <v>652</v>
      </c>
      <c r="D310" s="1119"/>
      <c r="E310" s="279" t="s">
        <v>653</v>
      </c>
      <c r="F310" s="1169"/>
      <c r="G310" s="540">
        <v>3</v>
      </c>
      <c r="H310" s="330">
        <v>20</v>
      </c>
      <c r="I310" s="331">
        <v>17.222300000000001</v>
      </c>
      <c r="J310" s="337">
        <v>46.76</v>
      </c>
      <c r="K310" s="330">
        <v>54</v>
      </c>
      <c r="L310" s="331">
        <v>930.00419999999997</v>
      </c>
      <c r="M310" s="337">
        <v>2525.04</v>
      </c>
      <c r="N310" s="355"/>
    </row>
    <row r="311" spans="2:14">
      <c r="B311" s="21" t="s">
        <v>654</v>
      </c>
      <c r="C311" s="288" t="s">
        <v>655</v>
      </c>
      <c r="D311" s="1334"/>
      <c r="E311" s="1077" t="s">
        <v>622</v>
      </c>
      <c r="F311" s="1118" t="s">
        <v>108</v>
      </c>
      <c r="G311" s="1060">
        <v>3.3</v>
      </c>
      <c r="H311" s="1027">
        <v>20</v>
      </c>
      <c r="I311" s="356">
        <v>19.809999999999999</v>
      </c>
      <c r="J311" s="356">
        <v>40.579999999999991</v>
      </c>
      <c r="K311" s="1027">
        <v>54</v>
      </c>
      <c r="L311" s="356">
        <v>1069.74</v>
      </c>
      <c r="M311" s="356">
        <v>2191.3200000000002</v>
      </c>
      <c r="N311" s="355"/>
    </row>
    <row r="312" spans="2:14">
      <c r="B312" s="21" t="s">
        <v>654</v>
      </c>
      <c r="C312" s="288" t="s">
        <v>656</v>
      </c>
      <c r="D312" s="1334"/>
      <c r="E312" s="1077" t="s">
        <v>638</v>
      </c>
      <c r="F312" s="1119"/>
      <c r="G312" s="1060">
        <v>3</v>
      </c>
      <c r="H312" s="1027">
        <v>20</v>
      </c>
      <c r="I312" s="356">
        <v>19.38</v>
      </c>
      <c r="J312" s="356">
        <v>45.44</v>
      </c>
      <c r="K312" s="1027">
        <v>54</v>
      </c>
      <c r="L312" s="356">
        <v>1046.52</v>
      </c>
      <c r="M312" s="356">
        <v>2453.7600000000002</v>
      </c>
      <c r="N312" s="355"/>
    </row>
    <row r="313" spans="2:14">
      <c r="B313" s="21" t="s">
        <v>654</v>
      </c>
      <c r="C313" s="288" t="s">
        <v>657</v>
      </c>
      <c r="D313" s="1334"/>
      <c r="E313" s="1077" t="s">
        <v>608</v>
      </c>
      <c r="F313" s="1119"/>
      <c r="G313" s="1060">
        <v>3.3</v>
      </c>
      <c r="H313" s="1027">
        <v>20</v>
      </c>
      <c r="I313" s="356">
        <v>19.8</v>
      </c>
      <c r="J313" s="356">
        <v>49.84</v>
      </c>
      <c r="K313" s="1027">
        <v>54</v>
      </c>
      <c r="L313" s="356">
        <v>1069.2</v>
      </c>
      <c r="M313" s="356">
        <v>2691.36</v>
      </c>
      <c r="N313" s="355"/>
    </row>
    <row r="314" spans="2:14">
      <c r="B314" s="21" t="s">
        <v>654</v>
      </c>
      <c r="C314" s="288" t="s">
        <v>658</v>
      </c>
      <c r="D314" s="1334"/>
      <c r="E314" s="1077" t="s">
        <v>659</v>
      </c>
      <c r="F314" s="1119"/>
      <c r="G314" s="1060">
        <v>3.3</v>
      </c>
      <c r="H314" s="1027">
        <v>20</v>
      </c>
      <c r="I314" s="356">
        <v>16.79</v>
      </c>
      <c r="J314" s="356">
        <v>44.12</v>
      </c>
      <c r="K314" s="1027">
        <v>54</v>
      </c>
      <c r="L314" s="356">
        <v>906.66</v>
      </c>
      <c r="M314" s="356">
        <v>2382.48</v>
      </c>
      <c r="N314" s="355"/>
    </row>
    <row r="315" spans="2:14">
      <c r="B315" s="21" t="s">
        <v>654</v>
      </c>
      <c r="C315" s="288" t="s">
        <v>660</v>
      </c>
      <c r="D315" s="1334"/>
      <c r="E315" s="1077" t="s">
        <v>636</v>
      </c>
      <c r="F315" s="1119"/>
      <c r="G315" s="1060">
        <v>3</v>
      </c>
      <c r="H315" s="1027">
        <v>20</v>
      </c>
      <c r="I315" s="356">
        <v>19.16</v>
      </c>
      <c r="J315" s="356">
        <v>44.12</v>
      </c>
      <c r="K315" s="1027">
        <v>54</v>
      </c>
      <c r="L315" s="356">
        <v>1034.6400000000001</v>
      </c>
      <c r="M315" s="356">
        <v>2382.48</v>
      </c>
      <c r="N315" s="355"/>
    </row>
    <row r="316" spans="2:14">
      <c r="B316" s="21" t="s">
        <v>654</v>
      </c>
      <c r="C316" s="288" t="s">
        <v>661</v>
      </c>
      <c r="D316" s="1334"/>
      <c r="E316" s="1077" t="s">
        <v>615</v>
      </c>
      <c r="F316" s="1119"/>
      <c r="G316" s="1060">
        <v>3.3</v>
      </c>
      <c r="H316" s="1027">
        <v>20</v>
      </c>
      <c r="I316" s="356">
        <v>16.791699999999999</v>
      </c>
      <c r="J316" s="356">
        <v>40.139999999999993</v>
      </c>
      <c r="K316" s="1027">
        <v>54</v>
      </c>
      <c r="L316" s="356">
        <v>906.75179999999989</v>
      </c>
      <c r="M316" s="356">
        <v>2167.559999999999</v>
      </c>
      <c r="N316" s="355"/>
    </row>
    <row r="317" spans="2:14">
      <c r="B317" s="21" t="s">
        <v>654</v>
      </c>
      <c r="C317" s="288" t="s">
        <v>662</v>
      </c>
      <c r="D317" s="1334"/>
      <c r="E317" s="1077" t="s">
        <v>663</v>
      </c>
      <c r="F317" s="1119"/>
      <c r="G317" s="1060">
        <v>3.3</v>
      </c>
      <c r="H317" s="1027">
        <v>20</v>
      </c>
      <c r="I317" s="356">
        <v>18.73</v>
      </c>
      <c r="J317" s="356">
        <v>44.12</v>
      </c>
      <c r="K317" s="1027">
        <v>54</v>
      </c>
      <c r="L317" s="356">
        <v>1011.42</v>
      </c>
      <c r="M317" s="356">
        <v>2382.48</v>
      </c>
      <c r="N317" s="355"/>
    </row>
    <row r="318" spans="2:14">
      <c r="B318" s="21" t="s">
        <v>654</v>
      </c>
      <c r="C318" s="288" t="s">
        <v>664</v>
      </c>
      <c r="D318" s="1334"/>
      <c r="E318" s="1077" t="s">
        <v>600</v>
      </c>
      <c r="F318" s="1119"/>
      <c r="G318" s="1060">
        <v>3.3</v>
      </c>
      <c r="H318" s="1027">
        <v>20</v>
      </c>
      <c r="I318" s="356">
        <v>18.73</v>
      </c>
      <c r="J318" s="356">
        <v>44.12</v>
      </c>
      <c r="K318" s="1027">
        <v>54</v>
      </c>
      <c r="L318" s="356">
        <v>1011.42</v>
      </c>
      <c r="M318" s="356">
        <v>2382.48</v>
      </c>
      <c r="N318" s="355"/>
    </row>
    <row r="319" spans="2:14">
      <c r="B319" s="21" t="s">
        <v>654</v>
      </c>
      <c r="C319" s="288" t="s">
        <v>665</v>
      </c>
      <c r="D319" s="1334"/>
      <c r="E319" s="1077" t="s">
        <v>606</v>
      </c>
      <c r="F319" s="1119"/>
      <c r="G319" s="1060">
        <v>3.3</v>
      </c>
      <c r="H319" s="1027">
        <v>20</v>
      </c>
      <c r="I319" s="356">
        <v>18.73</v>
      </c>
      <c r="J319" s="356">
        <v>44.12</v>
      </c>
      <c r="K319" s="1027">
        <v>54</v>
      </c>
      <c r="L319" s="356">
        <v>1011.42</v>
      </c>
      <c r="M319" s="356">
        <v>2382.48</v>
      </c>
      <c r="N319" s="355"/>
    </row>
    <row r="320" spans="2:14">
      <c r="B320" s="21" t="s">
        <v>654</v>
      </c>
      <c r="C320" s="288" t="s">
        <v>666</v>
      </c>
      <c r="D320" s="1334"/>
      <c r="E320" s="1077" t="s">
        <v>628</v>
      </c>
      <c r="F320" s="1119"/>
      <c r="G320" s="1060">
        <v>3.3</v>
      </c>
      <c r="H320" s="1027">
        <v>20</v>
      </c>
      <c r="I320" s="356">
        <v>19.809999999999999</v>
      </c>
      <c r="J320" s="356">
        <v>40.579999999999991</v>
      </c>
      <c r="K320" s="1027">
        <v>54</v>
      </c>
      <c r="L320" s="356">
        <v>1069.74</v>
      </c>
      <c r="M320" s="356">
        <v>2191.3200000000002</v>
      </c>
      <c r="N320" s="355"/>
    </row>
    <row r="321" spans="2:14">
      <c r="B321" s="21" t="s">
        <v>654</v>
      </c>
      <c r="C321" s="288" t="s">
        <v>667</v>
      </c>
      <c r="D321" s="1334"/>
      <c r="E321" s="1077" t="s">
        <v>610</v>
      </c>
      <c r="F321" s="1119"/>
      <c r="G321" s="1060">
        <v>3.3</v>
      </c>
      <c r="H321" s="1027">
        <v>20</v>
      </c>
      <c r="I321" s="356">
        <v>19.809999999999999</v>
      </c>
      <c r="J321" s="356">
        <v>49.84</v>
      </c>
      <c r="K321" s="1027">
        <v>54</v>
      </c>
      <c r="L321" s="356">
        <v>1069.74</v>
      </c>
      <c r="M321" s="356">
        <v>2691.36</v>
      </c>
      <c r="N321" s="355"/>
    </row>
    <row r="322" spans="2:14">
      <c r="B322" s="21" t="s">
        <v>654</v>
      </c>
      <c r="C322" s="288" t="s">
        <v>668</v>
      </c>
      <c r="D322" s="1334"/>
      <c r="E322" s="1077" t="s">
        <v>669</v>
      </c>
      <c r="F322" s="1119"/>
      <c r="G322" s="1060">
        <v>3.3</v>
      </c>
      <c r="H322" s="1027">
        <v>20</v>
      </c>
      <c r="I322" s="356">
        <v>19.809999999999999</v>
      </c>
      <c r="J322" s="356">
        <v>40.139999999999993</v>
      </c>
      <c r="K322" s="1027">
        <v>54</v>
      </c>
      <c r="L322" s="356">
        <v>1069.74</v>
      </c>
      <c r="M322" s="356">
        <v>2167.559999999999</v>
      </c>
      <c r="N322" s="355"/>
    </row>
    <row r="323" spans="2:14">
      <c r="B323" s="21" t="s">
        <v>654</v>
      </c>
      <c r="C323" s="288" t="s">
        <v>670</v>
      </c>
      <c r="D323" s="1334"/>
      <c r="E323" s="1077" t="s">
        <v>671</v>
      </c>
      <c r="F323" s="1119"/>
      <c r="G323" s="1060">
        <v>3</v>
      </c>
      <c r="H323" s="1027">
        <v>20</v>
      </c>
      <c r="I323" s="356">
        <v>19.149999999999999</v>
      </c>
      <c r="J323" s="356">
        <v>46.28</v>
      </c>
      <c r="K323" s="1027">
        <v>54</v>
      </c>
      <c r="L323" s="356">
        <v>1034.0999999999999</v>
      </c>
      <c r="M323" s="356">
        <v>2499.12</v>
      </c>
      <c r="N323" s="355"/>
    </row>
    <row r="324" spans="2:14">
      <c r="B324" s="21" t="s">
        <v>654</v>
      </c>
      <c r="C324" s="288" t="s">
        <v>672</v>
      </c>
      <c r="D324" s="1334"/>
      <c r="E324" s="1077" t="s">
        <v>626</v>
      </c>
      <c r="F324" s="1119"/>
      <c r="G324" s="1060">
        <v>3.3</v>
      </c>
      <c r="H324" s="1027">
        <v>20</v>
      </c>
      <c r="I324" s="356">
        <v>19.809999999999999</v>
      </c>
      <c r="J324" s="356">
        <v>44.18</v>
      </c>
      <c r="K324" s="1027">
        <v>54</v>
      </c>
      <c r="L324" s="356">
        <v>1069.74</v>
      </c>
      <c r="M324" s="356">
        <v>2385.7199999999998</v>
      </c>
      <c r="N324" s="355"/>
    </row>
    <row r="325" spans="2:14">
      <c r="B325" s="21" t="s">
        <v>654</v>
      </c>
      <c r="C325" s="288" t="s">
        <v>673</v>
      </c>
      <c r="D325" s="1334"/>
      <c r="E325" s="1077" t="s">
        <v>640</v>
      </c>
      <c r="F325" s="1119"/>
      <c r="G325" s="1060">
        <v>3</v>
      </c>
      <c r="H325" s="1027">
        <v>20</v>
      </c>
      <c r="I325" s="356">
        <v>19.38</v>
      </c>
      <c r="J325" s="356">
        <v>45.44</v>
      </c>
      <c r="K325" s="1027">
        <v>54</v>
      </c>
      <c r="L325" s="356">
        <v>1046.52</v>
      </c>
      <c r="M325" s="356">
        <v>2453.7600000000002</v>
      </c>
      <c r="N325" s="355"/>
    </row>
    <row r="326" spans="2:14">
      <c r="B326" s="21" t="s">
        <v>654</v>
      </c>
      <c r="C326" s="288" t="s">
        <v>674</v>
      </c>
      <c r="D326" s="1334"/>
      <c r="E326" s="1077" t="s">
        <v>612</v>
      </c>
      <c r="F326" s="1119"/>
      <c r="G326" s="1060">
        <v>3.3</v>
      </c>
      <c r="H326" s="1027">
        <v>20</v>
      </c>
      <c r="I326" s="356">
        <v>19.8</v>
      </c>
      <c r="J326" s="356">
        <v>49.84</v>
      </c>
      <c r="K326" s="1027">
        <v>54</v>
      </c>
      <c r="L326" s="356">
        <v>1069.2</v>
      </c>
      <c r="M326" s="356">
        <v>2691.36</v>
      </c>
      <c r="N326" s="355"/>
    </row>
    <row r="327" spans="2:14">
      <c r="B327" s="21" t="s">
        <v>654</v>
      </c>
      <c r="C327" s="288" t="s">
        <v>675</v>
      </c>
      <c r="D327" s="1334"/>
      <c r="E327" s="1077" t="s">
        <v>620</v>
      </c>
      <c r="F327" s="1119"/>
      <c r="G327" s="1060">
        <v>3.3</v>
      </c>
      <c r="H327" s="1027">
        <v>20</v>
      </c>
      <c r="I327" s="356">
        <v>16.8</v>
      </c>
      <c r="J327" s="356">
        <v>40.139999999999993</v>
      </c>
      <c r="K327" s="1027">
        <v>54</v>
      </c>
      <c r="L327" s="356">
        <v>907.2</v>
      </c>
      <c r="M327" s="356">
        <v>2167.559999999999</v>
      </c>
      <c r="N327" s="355"/>
    </row>
    <row r="328" spans="2:14">
      <c r="B328" s="21" t="s">
        <v>654</v>
      </c>
      <c r="C328" s="288" t="s">
        <v>676</v>
      </c>
      <c r="D328" s="1334"/>
      <c r="E328" s="1077" t="s">
        <v>651</v>
      </c>
      <c r="F328" s="1119"/>
      <c r="G328" s="1060">
        <v>4.2</v>
      </c>
      <c r="H328" s="1027">
        <v>20</v>
      </c>
      <c r="I328" s="356">
        <v>11.84</v>
      </c>
      <c r="J328" s="356">
        <v>25.14</v>
      </c>
      <c r="K328" s="1027">
        <v>54</v>
      </c>
      <c r="L328" s="356">
        <v>639.36</v>
      </c>
      <c r="M328" s="356">
        <v>1357.56</v>
      </c>
      <c r="N328" s="355"/>
    </row>
    <row r="329" spans="2:14">
      <c r="B329" s="21" t="s">
        <v>654</v>
      </c>
      <c r="C329" s="288" t="s">
        <v>677</v>
      </c>
      <c r="D329" s="1334"/>
      <c r="E329" s="1077" t="s">
        <v>644</v>
      </c>
      <c r="F329" s="1119"/>
      <c r="G329" s="1060">
        <v>4.5</v>
      </c>
      <c r="H329" s="1027">
        <v>20</v>
      </c>
      <c r="I329" s="356">
        <v>16.791699999999999</v>
      </c>
      <c r="J329" s="356">
        <v>40.139999999999993</v>
      </c>
      <c r="K329" s="1027">
        <v>54</v>
      </c>
      <c r="L329" s="356">
        <v>906.75179999999989</v>
      </c>
      <c r="M329" s="356">
        <v>2167.559999999999</v>
      </c>
      <c r="N329" s="355"/>
    </row>
    <row r="330" spans="2:14">
      <c r="B330" s="21" t="s">
        <v>654</v>
      </c>
      <c r="C330" s="288" t="s">
        <v>678</v>
      </c>
      <c r="D330" s="1334"/>
      <c r="E330" s="1077" t="s">
        <v>646</v>
      </c>
      <c r="F330" s="1119"/>
      <c r="G330" s="1060">
        <v>3.3</v>
      </c>
      <c r="H330" s="1027">
        <v>20</v>
      </c>
      <c r="I330" s="356">
        <v>19.38</v>
      </c>
      <c r="J330" s="356">
        <v>45.44</v>
      </c>
      <c r="K330" s="1027">
        <v>54</v>
      </c>
      <c r="L330" s="356">
        <v>1046.52</v>
      </c>
      <c r="M330" s="356">
        <v>2453.7600000000002</v>
      </c>
      <c r="N330" s="355"/>
    </row>
    <row r="331" spans="2:14">
      <c r="B331" s="21" t="s">
        <v>654</v>
      </c>
      <c r="C331" s="288" t="s">
        <v>679</v>
      </c>
      <c r="D331" s="1334"/>
      <c r="E331" s="1077" t="s">
        <v>680</v>
      </c>
      <c r="F331" s="1119"/>
      <c r="G331" s="1060">
        <v>3.3</v>
      </c>
      <c r="H331" s="1027">
        <v>20</v>
      </c>
      <c r="I331" s="356">
        <v>19.809999999999999</v>
      </c>
      <c r="J331" s="356">
        <v>40.579999999999991</v>
      </c>
      <c r="K331" s="1027">
        <v>54</v>
      </c>
      <c r="L331" s="356">
        <v>1069.74</v>
      </c>
      <c r="M331" s="356">
        <v>2191.3200000000002</v>
      </c>
      <c r="N331" s="355"/>
    </row>
    <row r="332" spans="2:14">
      <c r="B332" s="21" t="s">
        <v>654</v>
      </c>
      <c r="C332" s="288" t="s">
        <v>681</v>
      </c>
      <c r="D332" s="1334"/>
      <c r="E332" s="1077" t="s">
        <v>642</v>
      </c>
      <c r="F332" s="1119"/>
      <c r="G332" s="1060">
        <v>3</v>
      </c>
      <c r="H332" s="1027">
        <v>20</v>
      </c>
      <c r="I332" s="356">
        <v>14.85</v>
      </c>
      <c r="J332" s="356">
        <v>38.819999999999993</v>
      </c>
      <c r="K332" s="1027">
        <v>54</v>
      </c>
      <c r="L332" s="356">
        <v>801.9</v>
      </c>
      <c r="M332" s="356">
        <v>2096.2800000000002</v>
      </c>
      <c r="N332" s="355"/>
    </row>
    <row r="333" spans="2:14">
      <c r="B333" s="21" t="s">
        <v>654</v>
      </c>
      <c r="C333" s="288" t="s">
        <v>682</v>
      </c>
      <c r="D333" s="1334"/>
      <c r="E333" s="1077" t="s">
        <v>634</v>
      </c>
      <c r="F333" s="1119"/>
      <c r="G333" s="1060">
        <v>3</v>
      </c>
      <c r="H333" s="1027">
        <v>20</v>
      </c>
      <c r="I333" s="356">
        <v>18.3</v>
      </c>
      <c r="J333" s="356">
        <v>45.18</v>
      </c>
      <c r="K333" s="1027">
        <v>54</v>
      </c>
      <c r="L333" s="356">
        <v>988.2</v>
      </c>
      <c r="M333" s="356">
        <v>2439.7199999999998</v>
      </c>
      <c r="N333" s="355"/>
    </row>
    <row r="334" spans="2:14">
      <c r="B334" s="21" t="s">
        <v>654</v>
      </c>
      <c r="C334" s="288" t="s">
        <v>683</v>
      </c>
      <c r="D334" s="1334"/>
      <c r="E334" s="1077" t="s">
        <v>684</v>
      </c>
      <c r="F334" s="1119"/>
      <c r="G334" s="1060">
        <v>3</v>
      </c>
      <c r="H334" s="1027">
        <v>20</v>
      </c>
      <c r="I334" s="356">
        <v>18.22</v>
      </c>
      <c r="J334" s="356">
        <v>46.3</v>
      </c>
      <c r="K334" s="1027">
        <v>54</v>
      </c>
      <c r="L334" s="356">
        <v>983.87999999999988</v>
      </c>
      <c r="M334" s="356">
        <v>2500.1999999999998</v>
      </c>
      <c r="N334" s="355"/>
    </row>
    <row r="335" spans="2:14">
      <c r="B335" s="21" t="s">
        <v>654</v>
      </c>
      <c r="C335" s="288" t="s">
        <v>685</v>
      </c>
      <c r="D335" s="1334"/>
      <c r="E335" s="1077" t="s">
        <v>686</v>
      </c>
      <c r="F335" s="1119"/>
      <c r="G335" s="1060">
        <v>4.5</v>
      </c>
      <c r="H335" s="1027">
        <v>20</v>
      </c>
      <c r="I335" s="356">
        <v>19.809999999999999</v>
      </c>
      <c r="J335" s="356">
        <v>40.579999999999991</v>
      </c>
      <c r="K335" s="1027">
        <v>54</v>
      </c>
      <c r="L335" s="356">
        <v>1069.74</v>
      </c>
      <c r="M335" s="356">
        <v>2191.3200000000002</v>
      </c>
      <c r="N335" s="355"/>
    </row>
    <row r="336" spans="2:14">
      <c r="B336" s="21" t="s">
        <v>654</v>
      </c>
      <c r="C336" s="288" t="s">
        <v>687</v>
      </c>
      <c r="D336" s="1334"/>
      <c r="E336" s="1077" t="s">
        <v>632</v>
      </c>
      <c r="F336" s="1119"/>
      <c r="G336" s="1060">
        <v>3.3</v>
      </c>
      <c r="H336" s="1027">
        <v>20</v>
      </c>
      <c r="I336" s="356">
        <v>19.809999999999999</v>
      </c>
      <c r="J336" s="356">
        <v>44.18</v>
      </c>
      <c r="K336" s="1027">
        <v>54</v>
      </c>
      <c r="L336" s="356">
        <v>1069.74</v>
      </c>
      <c r="M336" s="356">
        <v>2385.7199999999998</v>
      </c>
      <c r="N336" s="355"/>
    </row>
    <row r="337" spans="2:14">
      <c r="B337" s="21" t="s">
        <v>654</v>
      </c>
      <c r="C337" s="288" t="s">
        <v>688</v>
      </c>
      <c r="D337" s="1334"/>
      <c r="E337" s="1077" t="s">
        <v>624</v>
      </c>
      <c r="F337" s="1119"/>
      <c r="G337" s="1060">
        <v>3.3</v>
      </c>
      <c r="H337" s="1027">
        <v>20</v>
      </c>
      <c r="I337" s="356">
        <v>19.809999999999999</v>
      </c>
      <c r="J337" s="356">
        <v>44.18</v>
      </c>
      <c r="K337" s="1027">
        <v>54</v>
      </c>
      <c r="L337" s="356">
        <v>1069.74</v>
      </c>
      <c r="M337" s="356">
        <v>2385.7199999999998</v>
      </c>
      <c r="N337" s="355"/>
    </row>
    <row r="338" spans="2:14" ht="15" customHeight="1" thickBot="1">
      <c r="B338" s="21" t="s">
        <v>654</v>
      </c>
      <c r="C338" s="288" t="s">
        <v>689</v>
      </c>
      <c r="D338" s="1335"/>
      <c r="E338" s="1077" t="s">
        <v>630</v>
      </c>
      <c r="F338" s="1120"/>
      <c r="G338" s="1060">
        <v>3.3</v>
      </c>
      <c r="H338" s="1027">
        <v>20</v>
      </c>
      <c r="I338" s="356">
        <v>19.809999999999999</v>
      </c>
      <c r="J338" s="356">
        <v>40.579999999999991</v>
      </c>
      <c r="K338" s="1027">
        <v>54</v>
      </c>
      <c r="L338" s="356">
        <v>1069.74</v>
      </c>
      <c r="M338" s="356">
        <v>2191.3200000000002</v>
      </c>
      <c r="N338" s="355"/>
    </row>
    <row r="339" spans="2:14" ht="15" customHeight="1" thickBot="1">
      <c r="C339" s="256"/>
      <c r="E339" s="242"/>
      <c r="F339" s="256"/>
      <c r="G339" s="256"/>
      <c r="H339" s="243"/>
      <c r="I339" s="328"/>
      <c r="J339" s="328"/>
      <c r="K339" s="243"/>
      <c r="L339" s="328"/>
      <c r="M339" s="328"/>
      <c r="N339" s="328"/>
    </row>
    <row r="340" spans="2:14" ht="30.6" customHeight="1" thickBot="1">
      <c r="C340" s="1398" t="s">
        <v>690</v>
      </c>
      <c r="D340" s="1399"/>
      <c r="E340" s="1399"/>
      <c r="F340" s="87"/>
      <c r="G340" s="556"/>
      <c r="H340" s="1133" t="s">
        <v>101</v>
      </c>
      <c r="I340" s="1675"/>
      <c r="J340" s="1676"/>
      <c r="K340" s="1133" t="s">
        <v>102</v>
      </c>
      <c r="L340" s="1675"/>
      <c r="M340" s="1676"/>
      <c r="N340" s="26"/>
    </row>
    <row r="341" spans="2:14" ht="15" customHeight="1">
      <c r="C341" s="29" t="s">
        <v>103</v>
      </c>
      <c r="D341" s="31" t="s">
        <v>104</v>
      </c>
      <c r="E341" s="88" t="s">
        <v>105</v>
      </c>
      <c r="F341" s="32" t="s">
        <v>106</v>
      </c>
      <c r="G341" s="32" t="s">
        <v>107</v>
      </c>
      <c r="H341" s="33" t="s">
        <v>108</v>
      </c>
      <c r="I341" s="34" t="s">
        <v>109</v>
      </c>
      <c r="J341" s="36" t="s">
        <v>110</v>
      </c>
      <c r="K341" s="43" t="s">
        <v>111</v>
      </c>
      <c r="L341" s="44" t="s">
        <v>109</v>
      </c>
      <c r="M341" s="55" t="s">
        <v>110</v>
      </c>
      <c r="N341" s="37"/>
    </row>
    <row r="342" spans="2:14" ht="15">
      <c r="B342" s="21" t="s">
        <v>143</v>
      </c>
      <c r="C342" s="1074" t="s">
        <v>691</v>
      </c>
      <c r="D342" s="1578" t="s">
        <v>250</v>
      </c>
      <c r="E342" s="282" t="s">
        <v>692</v>
      </c>
      <c r="F342" s="1118" t="s">
        <v>108</v>
      </c>
      <c r="G342" s="1525">
        <v>4.5</v>
      </c>
      <c r="H342" s="1493">
        <v>20</v>
      </c>
      <c r="I342" s="1128">
        <v>19.375</v>
      </c>
      <c r="J342" s="1116">
        <v>41.88</v>
      </c>
      <c r="K342" s="1117">
        <v>54</v>
      </c>
      <c r="L342" s="1114">
        <v>1046.25</v>
      </c>
      <c r="M342" s="1116">
        <v>2261.52</v>
      </c>
      <c r="N342" s="37"/>
    </row>
    <row r="343" spans="2:14" ht="15" customHeight="1">
      <c r="B343" s="51"/>
      <c r="C343" s="249" t="s">
        <v>693</v>
      </c>
      <c r="D343" s="1579"/>
      <c r="E343" s="279" t="s">
        <v>694</v>
      </c>
      <c r="F343" s="1119"/>
      <c r="G343" s="1679"/>
      <c r="H343" s="1690"/>
      <c r="I343" s="1690"/>
      <c r="J343" s="1694"/>
      <c r="K343" s="1690"/>
      <c r="L343" s="1692"/>
      <c r="M343" s="1694"/>
      <c r="N343" s="355"/>
    </row>
    <row r="344" spans="2:14" ht="15">
      <c r="C344" s="244" t="s">
        <v>695</v>
      </c>
      <c r="D344" s="1579"/>
      <c r="E344" s="278" t="s">
        <v>696</v>
      </c>
      <c r="F344" s="1119"/>
      <c r="G344" s="1293">
        <v>6</v>
      </c>
      <c r="H344" s="1241">
        <v>20</v>
      </c>
      <c r="I344" s="1128">
        <v>19.375</v>
      </c>
      <c r="J344" s="1150">
        <v>38.58</v>
      </c>
      <c r="K344" s="1241">
        <v>54</v>
      </c>
      <c r="L344" s="1189">
        <v>1046.25</v>
      </c>
      <c r="M344" s="1150">
        <v>2083.3200000000002</v>
      </c>
      <c r="N344" s="355"/>
    </row>
    <row r="345" spans="2:14" ht="15" customHeight="1">
      <c r="C345" s="249" t="s">
        <v>697</v>
      </c>
      <c r="D345" s="1579"/>
      <c r="E345" s="283" t="s">
        <v>698</v>
      </c>
      <c r="F345" s="1119"/>
      <c r="G345" s="1679"/>
      <c r="H345" s="1686"/>
      <c r="I345" s="1690"/>
      <c r="J345" s="1689"/>
      <c r="K345" s="1686"/>
      <c r="L345" s="1687"/>
      <c r="M345" s="1689"/>
      <c r="N345" s="355"/>
    </row>
    <row r="346" spans="2:14" ht="15" customHeight="1">
      <c r="C346" s="1075" t="s">
        <v>699</v>
      </c>
      <c r="D346" s="1579"/>
      <c r="E346" s="279" t="s">
        <v>700</v>
      </c>
      <c r="F346" s="1119"/>
      <c r="G346" s="1520">
        <v>6.9</v>
      </c>
      <c r="H346" s="1142">
        <v>14</v>
      </c>
      <c r="I346" s="1176">
        <v>13.16</v>
      </c>
      <c r="J346" s="1249">
        <f>M346/K346</f>
        <v>37.043968253968252</v>
      </c>
      <c r="K346" s="1142">
        <v>63</v>
      </c>
      <c r="L346" s="1494">
        <f>K346*I346</f>
        <v>829.08</v>
      </c>
      <c r="M346" s="1263">
        <v>2333.77</v>
      </c>
      <c r="N346" s="355"/>
    </row>
    <row r="347" spans="2:14" ht="15" customHeight="1">
      <c r="C347" s="254" t="s">
        <v>701</v>
      </c>
      <c r="D347" s="1579"/>
      <c r="E347" s="1097" t="s">
        <v>702</v>
      </c>
      <c r="F347" s="1144"/>
      <c r="G347" s="1677"/>
      <c r="H347" s="1691"/>
      <c r="I347" s="1692"/>
      <c r="J347" s="1705"/>
      <c r="K347" s="1691"/>
      <c r="L347" s="1718"/>
      <c r="M347" s="1705"/>
      <c r="N347" s="355"/>
    </row>
    <row r="348" spans="2:14" ht="15">
      <c r="B348" s="51"/>
      <c r="C348" s="289" t="s">
        <v>703</v>
      </c>
      <c r="D348" s="1579"/>
      <c r="E348" s="281" t="s">
        <v>704</v>
      </c>
      <c r="F348" s="1334"/>
      <c r="G348" s="1431">
        <v>4.5</v>
      </c>
      <c r="H348" s="1419">
        <v>20</v>
      </c>
      <c r="I348" s="1483">
        <v>19.934799999999999</v>
      </c>
      <c r="J348" s="1422">
        <v>38.58</v>
      </c>
      <c r="K348" s="1228">
        <v>54</v>
      </c>
      <c r="L348" s="1279">
        <v>1076.4792</v>
      </c>
      <c r="M348" s="1422">
        <v>2083.3200000000002</v>
      </c>
      <c r="N348" s="355"/>
    </row>
    <row r="349" spans="2:14" ht="14.45" customHeight="1">
      <c r="B349" s="51"/>
      <c r="C349" s="289" t="s">
        <v>705</v>
      </c>
      <c r="D349" s="1579"/>
      <c r="E349" s="280" t="s">
        <v>706</v>
      </c>
      <c r="F349" s="1334"/>
      <c r="G349" s="1687"/>
      <c r="H349" s="1720"/>
      <c r="I349" s="1686"/>
      <c r="J349" s="1689"/>
      <c r="K349" s="1686"/>
      <c r="L349" s="1687"/>
      <c r="M349" s="1689"/>
      <c r="N349" s="355"/>
    </row>
    <row r="350" spans="2:14" ht="14.45" customHeight="1">
      <c r="B350" s="51"/>
      <c r="C350" s="247" t="s">
        <v>707</v>
      </c>
      <c r="D350" s="1579"/>
      <c r="E350" s="280" t="s">
        <v>708</v>
      </c>
      <c r="F350" s="1334"/>
      <c r="G350" s="1687"/>
      <c r="H350" s="1720"/>
      <c r="I350" s="1686"/>
      <c r="J350" s="1689"/>
      <c r="K350" s="1686"/>
      <c r="L350" s="1687"/>
      <c r="M350" s="1689"/>
      <c r="N350" s="355"/>
    </row>
    <row r="351" spans="2:14" ht="15" customHeight="1">
      <c r="B351" s="51"/>
      <c r="C351" s="249" t="s">
        <v>709</v>
      </c>
      <c r="D351" s="1579"/>
      <c r="E351" s="283" t="s">
        <v>710</v>
      </c>
      <c r="F351" s="1334"/>
      <c r="G351" s="1687"/>
      <c r="H351" s="1706"/>
      <c r="I351" s="1690"/>
      <c r="J351" s="1694"/>
      <c r="K351" s="1690"/>
      <c r="L351" s="1692"/>
      <c r="M351" s="1694"/>
      <c r="N351" s="355"/>
    </row>
    <row r="352" spans="2:14" ht="14.45" customHeight="1">
      <c r="C352" s="244" t="s">
        <v>711</v>
      </c>
      <c r="D352" s="1579"/>
      <c r="E352" s="284" t="s">
        <v>712</v>
      </c>
      <c r="F352" s="1334"/>
      <c r="G352" s="1687"/>
      <c r="H352" s="1202">
        <v>22</v>
      </c>
      <c r="I352" s="1238">
        <v>19.05</v>
      </c>
      <c r="J352" s="1150">
        <v>47.178899999999999</v>
      </c>
      <c r="K352" s="1241">
        <v>54</v>
      </c>
      <c r="L352" s="1189">
        <v>1028.81</v>
      </c>
      <c r="M352" s="1150">
        <v>2547.66</v>
      </c>
      <c r="N352" s="355"/>
    </row>
    <row r="353" spans="2:14" ht="14.45" customHeight="1">
      <c r="C353" s="247" t="s">
        <v>713</v>
      </c>
      <c r="D353" s="1579"/>
      <c r="E353" s="287" t="s">
        <v>714</v>
      </c>
      <c r="F353" s="1334"/>
      <c r="G353" s="1718"/>
      <c r="H353" s="1720"/>
      <c r="I353" s="1686"/>
      <c r="J353" s="1689"/>
      <c r="K353" s="1686"/>
      <c r="L353" s="1687"/>
      <c r="M353" s="1689"/>
      <c r="N353" s="355"/>
    </row>
    <row r="354" spans="2:14" ht="15.95" customHeight="1">
      <c r="C354" s="249" t="s">
        <v>715</v>
      </c>
      <c r="D354" s="1579"/>
      <c r="E354" s="285" t="s">
        <v>716</v>
      </c>
      <c r="F354" s="1120"/>
      <c r="G354" s="582">
        <v>6</v>
      </c>
      <c r="H354" s="1720"/>
      <c r="I354" s="1686"/>
      <c r="J354" s="1689"/>
      <c r="K354" s="1686"/>
      <c r="L354" s="1687"/>
      <c r="M354" s="1689"/>
      <c r="N354" s="355"/>
    </row>
    <row r="355" spans="2:14" ht="15.95" customHeight="1">
      <c r="B355" s="21" t="s">
        <v>654</v>
      </c>
      <c r="C355" s="249" t="s">
        <v>717</v>
      </c>
      <c r="D355" s="1579"/>
      <c r="E355" s="302" t="s">
        <v>702</v>
      </c>
      <c r="F355" s="1118" t="s">
        <v>108</v>
      </c>
      <c r="G355" s="1078">
        <v>6.9</v>
      </c>
      <c r="H355" s="378">
        <v>10</v>
      </c>
      <c r="I355" s="356">
        <v>9.14</v>
      </c>
      <c r="J355" s="356">
        <v>39.479999999999997</v>
      </c>
      <c r="K355" s="1027">
        <v>63</v>
      </c>
      <c r="L355" s="356">
        <v>575.82000000000005</v>
      </c>
      <c r="M355" s="357">
        <v>2487.2399999999998</v>
      </c>
      <c r="N355" s="355"/>
    </row>
    <row r="356" spans="2:14" ht="15.95" customHeight="1">
      <c r="B356" s="21" t="s">
        <v>654</v>
      </c>
      <c r="C356" s="249" t="s">
        <v>718</v>
      </c>
      <c r="D356" s="1579"/>
      <c r="E356" s="302" t="s">
        <v>719</v>
      </c>
      <c r="F356" s="1119"/>
      <c r="G356" s="1078">
        <v>4.5</v>
      </c>
      <c r="H356" s="378">
        <v>20</v>
      </c>
      <c r="I356" s="356">
        <v>16.579999999999998</v>
      </c>
      <c r="J356" s="356">
        <v>40.579999999999991</v>
      </c>
      <c r="K356" s="1027">
        <v>54</v>
      </c>
      <c r="L356" s="356">
        <v>895.31999999999994</v>
      </c>
      <c r="M356" s="357">
        <v>2191.3200000000002</v>
      </c>
      <c r="N356" s="355"/>
    </row>
    <row r="357" spans="2:14" ht="15.95" customHeight="1">
      <c r="B357" s="21" t="s">
        <v>654</v>
      </c>
      <c r="C357" s="249" t="s">
        <v>720</v>
      </c>
      <c r="D357" s="1579"/>
      <c r="E357" s="302" t="s">
        <v>714</v>
      </c>
      <c r="F357" s="1119"/>
      <c r="G357" s="1078">
        <v>4.5</v>
      </c>
      <c r="H357" s="378">
        <v>20</v>
      </c>
      <c r="I357" s="356">
        <v>16.579999999999998</v>
      </c>
      <c r="J357" s="356">
        <v>40.579999999999991</v>
      </c>
      <c r="K357" s="1027">
        <v>54</v>
      </c>
      <c r="L357" s="356">
        <v>895.31999999999994</v>
      </c>
      <c r="M357" s="357">
        <v>2191.3200000000002</v>
      </c>
      <c r="N357" s="355"/>
    </row>
    <row r="358" spans="2:14" ht="15.95" customHeight="1">
      <c r="B358" s="21" t="s">
        <v>654</v>
      </c>
      <c r="C358" s="249" t="s">
        <v>721</v>
      </c>
      <c r="D358" s="1579"/>
      <c r="E358" s="302" t="s">
        <v>716</v>
      </c>
      <c r="F358" s="1119"/>
      <c r="G358" s="1078">
        <v>6</v>
      </c>
      <c r="H358" s="378">
        <v>20</v>
      </c>
      <c r="I358" s="356">
        <v>16.579999999999998</v>
      </c>
      <c r="J358" s="356">
        <v>40.579999999999991</v>
      </c>
      <c r="K358" s="1027">
        <v>54</v>
      </c>
      <c r="L358" s="356">
        <v>895.31999999999994</v>
      </c>
      <c r="M358" s="357">
        <v>2191.3200000000002</v>
      </c>
      <c r="N358" s="355"/>
    </row>
    <row r="359" spans="2:14" ht="15.95" customHeight="1">
      <c r="B359" s="21" t="s">
        <v>654</v>
      </c>
      <c r="C359" s="249" t="s">
        <v>722</v>
      </c>
      <c r="D359" s="1579"/>
      <c r="E359" s="302" t="s">
        <v>723</v>
      </c>
      <c r="F359" s="1119"/>
      <c r="G359" s="1078">
        <v>4.5</v>
      </c>
      <c r="H359" s="378">
        <v>20</v>
      </c>
      <c r="I359" s="356">
        <v>16.579999999999998</v>
      </c>
      <c r="J359" s="356">
        <v>40.579999999999991</v>
      </c>
      <c r="K359" s="1027">
        <v>54</v>
      </c>
      <c r="L359" s="356">
        <v>895.31999999999994</v>
      </c>
      <c r="M359" s="357">
        <v>2191.3200000000002</v>
      </c>
      <c r="N359" s="355"/>
    </row>
    <row r="360" spans="2:14" ht="15.95" customHeight="1">
      <c r="B360" s="21" t="s">
        <v>654</v>
      </c>
      <c r="C360" s="249" t="s">
        <v>724</v>
      </c>
      <c r="D360" s="1579"/>
      <c r="E360" s="302" t="s">
        <v>692</v>
      </c>
      <c r="F360" s="1119"/>
      <c r="G360" s="1078">
        <v>4.5</v>
      </c>
      <c r="H360" s="378">
        <v>20</v>
      </c>
      <c r="I360" s="356">
        <v>18.3</v>
      </c>
      <c r="J360" s="356">
        <v>46.3</v>
      </c>
      <c r="K360" s="1027">
        <v>54</v>
      </c>
      <c r="L360" s="356">
        <v>988.2</v>
      </c>
      <c r="M360" s="357">
        <v>2500.1999999999998</v>
      </c>
      <c r="N360" s="355"/>
    </row>
    <row r="361" spans="2:14" ht="15.95" customHeight="1">
      <c r="B361" s="21" t="s">
        <v>654</v>
      </c>
      <c r="C361" s="249" t="s">
        <v>725</v>
      </c>
      <c r="D361" s="1579"/>
      <c r="E361" s="302" t="s">
        <v>700</v>
      </c>
      <c r="F361" s="1119"/>
      <c r="G361" s="1078">
        <v>6.9</v>
      </c>
      <c r="H361" s="378">
        <v>10</v>
      </c>
      <c r="I361" s="356">
        <v>9.14</v>
      </c>
      <c r="J361" s="356">
        <v>39.479999999999997</v>
      </c>
      <c r="K361" s="1027">
        <v>63</v>
      </c>
      <c r="L361" s="356">
        <v>575.82000000000005</v>
      </c>
      <c r="M361" s="357">
        <v>2487.2399999999998</v>
      </c>
      <c r="N361" s="355"/>
    </row>
    <row r="362" spans="2:14" ht="15.95" customHeight="1">
      <c r="B362" s="21" t="s">
        <v>654</v>
      </c>
      <c r="C362" s="249" t="s">
        <v>726</v>
      </c>
      <c r="D362" s="1579"/>
      <c r="E362" s="302" t="s">
        <v>698</v>
      </c>
      <c r="F362" s="1119"/>
      <c r="G362" s="1078">
        <v>6</v>
      </c>
      <c r="H362" s="378">
        <v>20</v>
      </c>
      <c r="I362" s="356">
        <v>17.239999999999998</v>
      </c>
      <c r="J362" s="356">
        <v>45</v>
      </c>
      <c r="K362" s="1027">
        <v>54</v>
      </c>
      <c r="L362" s="356">
        <v>930.95999999999992</v>
      </c>
      <c r="M362" s="357">
        <v>2430</v>
      </c>
      <c r="N362" s="355"/>
    </row>
    <row r="363" spans="2:14" ht="15.95" customHeight="1">
      <c r="B363" s="21" t="s">
        <v>654</v>
      </c>
      <c r="C363" s="249" t="s">
        <v>727</v>
      </c>
      <c r="D363" s="1579"/>
      <c r="E363" s="302" t="s">
        <v>704</v>
      </c>
      <c r="F363" s="1119"/>
      <c r="G363" s="1078">
        <v>4.5</v>
      </c>
      <c r="H363" s="378">
        <v>20</v>
      </c>
      <c r="I363" s="356">
        <v>19.809999999999999</v>
      </c>
      <c r="J363" s="356">
        <v>44.18</v>
      </c>
      <c r="K363" s="1027">
        <v>54</v>
      </c>
      <c r="L363" s="356">
        <v>1069.74</v>
      </c>
      <c r="M363" s="357">
        <v>2385.7199999999998</v>
      </c>
      <c r="N363" s="355"/>
    </row>
    <row r="364" spans="2:14" ht="15.95" customHeight="1">
      <c r="B364" s="21" t="s">
        <v>654</v>
      </c>
      <c r="C364" s="249" t="s">
        <v>728</v>
      </c>
      <c r="D364" s="1579"/>
      <c r="E364" s="302" t="s">
        <v>729</v>
      </c>
      <c r="F364" s="1119"/>
      <c r="G364" s="1078">
        <v>6.9</v>
      </c>
      <c r="H364" s="378">
        <v>10</v>
      </c>
      <c r="I364" s="356">
        <v>9.14</v>
      </c>
      <c r="J364" s="356">
        <v>39.479999999999997</v>
      </c>
      <c r="K364" s="1027">
        <v>63</v>
      </c>
      <c r="L364" s="356">
        <v>575.82000000000005</v>
      </c>
      <c r="M364" s="357">
        <v>2487.2399999999998</v>
      </c>
      <c r="N364" s="355"/>
    </row>
    <row r="365" spans="2:14" ht="15.95" customHeight="1">
      <c r="B365" s="21" t="s">
        <v>654</v>
      </c>
      <c r="C365" s="249" t="s">
        <v>730</v>
      </c>
      <c r="D365" s="1579"/>
      <c r="E365" s="302" t="s">
        <v>710</v>
      </c>
      <c r="F365" s="1119"/>
      <c r="G365" s="1078">
        <v>4.5</v>
      </c>
      <c r="H365" s="378">
        <v>20</v>
      </c>
      <c r="I365" s="356">
        <v>19.809999999999999</v>
      </c>
      <c r="J365" s="356">
        <v>44.18</v>
      </c>
      <c r="K365" s="1027">
        <v>54</v>
      </c>
      <c r="L365" s="356">
        <v>1069.74</v>
      </c>
      <c r="M365" s="357">
        <v>2385.7199999999998</v>
      </c>
      <c r="N365" s="355"/>
    </row>
    <row r="366" spans="2:14" ht="15.95" customHeight="1">
      <c r="B366" s="21" t="s">
        <v>654</v>
      </c>
      <c r="C366" s="249" t="s">
        <v>731</v>
      </c>
      <c r="D366" s="1579"/>
      <c r="E366" s="302" t="s">
        <v>708</v>
      </c>
      <c r="F366" s="1119"/>
      <c r="G366" s="1078">
        <v>4.5</v>
      </c>
      <c r="H366" s="378">
        <v>20</v>
      </c>
      <c r="I366" s="356">
        <v>19.809999999999999</v>
      </c>
      <c r="J366" s="356">
        <v>44.18</v>
      </c>
      <c r="K366" s="1027">
        <v>54</v>
      </c>
      <c r="L366" s="356">
        <v>1069.74</v>
      </c>
      <c r="M366" s="357">
        <v>2385.7199999999998</v>
      </c>
      <c r="N366" s="355"/>
    </row>
    <row r="367" spans="2:14" ht="15.95" customHeight="1">
      <c r="B367" s="21" t="s">
        <v>654</v>
      </c>
      <c r="C367" s="249" t="s">
        <v>732</v>
      </c>
      <c r="D367" s="1579"/>
      <c r="E367" s="302" t="s">
        <v>712</v>
      </c>
      <c r="F367" s="1120"/>
      <c r="G367" s="1078">
        <v>4.5</v>
      </c>
      <c r="H367" s="342">
        <v>20</v>
      </c>
      <c r="I367" s="343">
        <v>16.579999999999998</v>
      </c>
      <c r="J367" s="343">
        <v>40.579999999999991</v>
      </c>
      <c r="K367" s="1033">
        <v>54</v>
      </c>
      <c r="L367" s="343">
        <v>895.31999999999994</v>
      </c>
      <c r="M367" s="344">
        <v>2191.3200000000002</v>
      </c>
      <c r="N367" s="355"/>
    </row>
    <row r="368" spans="2:14" ht="15" customHeight="1">
      <c r="B368" s="602" t="s">
        <v>150</v>
      </c>
      <c r="C368" s="990" t="s">
        <v>733</v>
      </c>
      <c r="D368" s="1579"/>
      <c r="E368" s="991" t="s">
        <v>734</v>
      </c>
      <c r="F368" s="1118" t="s">
        <v>108</v>
      </c>
      <c r="G368" s="1222">
        <v>6.9</v>
      </c>
      <c r="H368" s="1220">
        <v>10</v>
      </c>
      <c r="I368" s="1447">
        <v>9.36</v>
      </c>
      <c r="J368" s="1220">
        <v>23.05</v>
      </c>
      <c r="K368" s="1220">
        <v>112</v>
      </c>
      <c r="L368" s="1220" t="s">
        <v>735</v>
      </c>
      <c r="M368" s="1220" t="s">
        <v>736</v>
      </c>
      <c r="N368" s="355"/>
    </row>
    <row r="369" spans="2:14" ht="15" customHeight="1">
      <c r="B369" s="602" t="s">
        <v>150</v>
      </c>
      <c r="C369" s="989" t="s">
        <v>737</v>
      </c>
      <c r="D369" s="1579"/>
      <c r="E369" s="992" t="s">
        <v>738</v>
      </c>
      <c r="F369" s="1119"/>
      <c r="G369" s="1697"/>
      <c r="H369" s="1220"/>
      <c r="I369" s="1447"/>
      <c r="J369" s="1220"/>
      <c r="K369" s="1220"/>
      <c r="L369" s="1220"/>
      <c r="M369" s="1220"/>
      <c r="N369" s="355"/>
    </row>
    <row r="370" spans="2:14" ht="15" customHeight="1">
      <c r="B370" s="602" t="s">
        <v>150</v>
      </c>
      <c r="C370" s="990" t="s">
        <v>739</v>
      </c>
      <c r="D370" s="1579"/>
      <c r="E370" s="991" t="s">
        <v>740</v>
      </c>
      <c r="F370" s="1119"/>
      <c r="G370" s="1697"/>
      <c r="H370" s="1220"/>
      <c r="I370" s="1447">
        <v>11.62</v>
      </c>
      <c r="J370" s="1220">
        <v>53.29</v>
      </c>
      <c r="K370" s="1220">
        <v>36</v>
      </c>
      <c r="L370" s="1220">
        <v>418.35</v>
      </c>
      <c r="M370" s="1220">
        <v>1918.3</v>
      </c>
      <c r="N370" s="355"/>
    </row>
    <row r="371" spans="2:14" ht="15" customHeight="1">
      <c r="B371" s="602" t="s">
        <v>150</v>
      </c>
      <c r="C371" s="989" t="s">
        <v>741</v>
      </c>
      <c r="D371" s="1579"/>
      <c r="E371" s="992" t="s">
        <v>742</v>
      </c>
      <c r="F371" s="1119"/>
      <c r="G371" s="1697"/>
      <c r="H371" s="1220"/>
      <c r="I371" s="1554"/>
      <c r="J371" s="1220"/>
      <c r="K371" s="1220"/>
      <c r="L371" s="1220"/>
      <c r="M371" s="1220"/>
      <c r="N371" s="355"/>
    </row>
    <row r="372" spans="2:14" ht="15" customHeight="1">
      <c r="B372" s="602" t="s">
        <v>150</v>
      </c>
      <c r="C372" s="988" t="s">
        <v>743</v>
      </c>
      <c r="D372" s="1579"/>
      <c r="E372" s="1076" t="s">
        <v>744</v>
      </c>
      <c r="F372" s="1264" t="s">
        <v>108</v>
      </c>
      <c r="G372" s="1581">
        <v>6.9</v>
      </c>
      <c r="H372" s="394">
        <v>15</v>
      </c>
      <c r="I372" s="346" t="s">
        <v>745</v>
      </c>
      <c r="J372" s="356" t="s">
        <v>746</v>
      </c>
      <c r="K372" s="1027">
        <v>54</v>
      </c>
      <c r="L372" s="356" t="s">
        <v>747</v>
      </c>
      <c r="M372" s="356" t="s">
        <v>748</v>
      </c>
      <c r="N372" s="355"/>
    </row>
    <row r="373" spans="2:14" ht="15" customHeight="1">
      <c r="B373" s="602" t="s">
        <v>150</v>
      </c>
      <c r="C373" s="988" t="s">
        <v>749</v>
      </c>
      <c r="D373" s="1579"/>
      <c r="E373" s="1076" t="s">
        <v>750</v>
      </c>
      <c r="F373" s="1265"/>
      <c r="G373" s="1582"/>
      <c r="H373" s="394">
        <v>20</v>
      </c>
      <c r="I373" s="346" t="s">
        <v>751</v>
      </c>
      <c r="J373" s="356" t="s">
        <v>752</v>
      </c>
      <c r="K373" s="1027">
        <v>45</v>
      </c>
      <c r="L373" s="356" t="s">
        <v>753</v>
      </c>
      <c r="M373" s="356" t="s">
        <v>754</v>
      </c>
      <c r="N373" s="355"/>
    </row>
    <row r="374" spans="2:14" ht="15" customHeight="1">
      <c r="B374" s="602" t="s">
        <v>150</v>
      </c>
      <c r="C374" s="988" t="s">
        <v>755</v>
      </c>
      <c r="D374" s="1579"/>
      <c r="E374" s="1076" t="s">
        <v>756</v>
      </c>
      <c r="F374" s="1265"/>
      <c r="G374" s="1582"/>
      <c r="H374" s="394">
        <v>15</v>
      </c>
      <c r="I374" s="346" t="s">
        <v>745</v>
      </c>
      <c r="J374" s="356" t="s">
        <v>746</v>
      </c>
      <c r="K374" s="1027">
        <v>54</v>
      </c>
      <c r="L374" s="356" t="s">
        <v>747</v>
      </c>
      <c r="M374" s="356" t="s">
        <v>748</v>
      </c>
      <c r="N374" s="355"/>
    </row>
    <row r="375" spans="2:14" ht="15" customHeight="1">
      <c r="B375" s="602" t="s">
        <v>150</v>
      </c>
      <c r="C375" s="988" t="s">
        <v>757</v>
      </c>
      <c r="D375" s="1579"/>
      <c r="E375" s="1076" t="s">
        <v>758</v>
      </c>
      <c r="F375" s="1265"/>
      <c r="G375" s="1582"/>
      <c r="H375" s="394">
        <v>20</v>
      </c>
      <c r="I375" s="346" t="s">
        <v>751</v>
      </c>
      <c r="J375" s="356" t="s">
        <v>752</v>
      </c>
      <c r="K375" s="1027">
        <v>45</v>
      </c>
      <c r="L375" s="356" t="s">
        <v>753</v>
      </c>
      <c r="M375" s="356" t="s">
        <v>754</v>
      </c>
      <c r="N375" s="355"/>
    </row>
    <row r="376" spans="2:14" ht="15" customHeight="1">
      <c r="B376" s="602" t="s">
        <v>150</v>
      </c>
      <c r="C376" s="988" t="s">
        <v>759</v>
      </c>
      <c r="D376" s="1579"/>
      <c r="E376" s="1076" t="s">
        <v>760</v>
      </c>
      <c r="F376" s="1265"/>
      <c r="G376" s="1582"/>
      <c r="H376" s="394">
        <v>15</v>
      </c>
      <c r="I376" s="346" t="s">
        <v>761</v>
      </c>
      <c r="J376" s="356" t="s">
        <v>762</v>
      </c>
      <c r="K376" s="1027">
        <v>54</v>
      </c>
      <c r="L376" s="356" t="s">
        <v>763</v>
      </c>
      <c r="M376" s="356" t="s">
        <v>764</v>
      </c>
      <c r="N376" s="355"/>
    </row>
    <row r="377" spans="2:14" ht="15" customHeight="1">
      <c r="B377" s="602" t="s">
        <v>150</v>
      </c>
      <c r="C377" s="988" t="s">
        <v>765</v>
      </c>
      <c r="D377" s="1579"/>
      <c r="E377" s="1076" t="s">
        <v>766</v>
      </c>
      <c r="F377" s="1265"/>
      <c r="G377" s="1582"/>
      <c r="H377" s="394">
        <v>20</v>
      </c>
      <c r="I377" s="346" t="s">
        <v>767</v>
      </c>
      <c r="J377" s="356" t="s">
        <v>768</v>
      </c>
      <c r="K377" s="1027">
        <v>45</v>
      </c>
      <c r="L377" s="356" t="s">
        <v>769</v>
      </c>
      <c r="M377" s="356" t="s">
        <v>770</v>
      </c>
      <c r="N377" s="355"/>
    </row>
    <row r="378" spans="2:14" ht="15" customHeight="1">
      <c r="B378" s="602" t="s">
        <v>150</v>
      </c>
      <c r="C378" s="988" t="s">
        <v>771</v>
      </c>
      <c r="D378" s="1579"/>
      <c r="E378" s="1076" t="s">
        <v>772</v>
      </c>
      <c r="F378" s="1265"/>
      <c r="G378" s="1582"/>
      <c r="H378" s="394">
        <v>20</v>
      </c>
      <c r="I378" s="346" t="s">
        <v>751</v>
      </c>
      <c r="J378" s="356" t="s">
        <v>752</v>
      </c>
      <c r="K378" s="1027">
        <v>45</v>
      </c>
      <c r="L378" s="356" t="s">
        <v>753</v>
      </c>
      <c r="M378" s="356" t="s">
        <v>754</v>
      </c>
      <c r="N378" s="355"/>
    </row>
    <row r="379" spans="2:14" ht="15" customHeight="1">
      <c r="B379" s="602" t="s">
        <v>150</v>
      </c>
      <c r="C379" s="988" t="s">
        <v>773</v>
      </c>
      <c r="D379" s="1579"/>
      <c r="E379" s="1076" t="s">
        <v>774</v>
      </c>
      <c r="F379" s="1265"/>
      <c r="G379" s="1582"/>
      <c r="H379" s="394">
        <v>15</v>
      </c>
      <c r="I379" s="346" t="s">
        <v>761</v>
      </c>
      <c r="J379" s="356" t="s">
        <v>762</v>
      </c>
      <c r="K379" s="1027">
        <v>54</v>
      </c>
      <c r="L379" s="356" t="s">
        <v>763</v>
      </c>
      <c r="M379" s="356" t="s">
        <v>764</v>
      </c>
      <c r="N379" s="355"/>
    </row>
    <row r="380" spans="2:14" ht="15" customHeight="1">
      <c r="B380" s="602" t="s">
        <v>150</v>
      </c>
      <c r="C380" s="988" t="s">
        <v>775</v>
      </c>
      <c r="D380" s="1579"/>
      <c r="E380" s="1076" t="s">
        <v>776</v>
      </c>
      <c r="F380" s="1265"/>
      <c r="G380" s="1582"/>
      <c r="H380" s="394">
        <v>20</v>
      </c>
      <c r="I380" s="346" t="s">
        <v>751</v>
      </c>
      <c r="J380" s="356" t="s">
        <v>752</v>
      </c>
      <c r="K380" s="1027">
        <v>45</v>
      </c>
      <c r="L380" s="356" t="s">
        <v>753</v>
      </c>
      <c r="M380" s="356" t="s">
        <v>754</v>
      </c>
      <c r="N380" s="355"/>
    </row>
    <row r="381" spans="2:14" ht="15" customHeight="1">
      <c r="B381" s="602" t="s">
        <v>150</v>
      </c>
      <c r="C381" s="988" t="s">
        <v>777</v>
      </c>
      <c r="D381" s="1579"/>
      <c r="E381" s="1076" t="s">
        <v>778</v>
      </c>
      <c r="F381" s="1265"/>
      <c r="G381" s="1582"/>
      <c r="H381" s="394">
        <v>20</v>
      </c>
      <c r="I381" s="346" t="s">
        <v>779</v>
      </c>
      <c r="J381" s="356" t="s">
        <v>780</v>
      </c>
      <c r="K381" s="1027">
        <v>54</v>
      </c>
      <c r="L381" s="356" t="s">
        <v>781</v>
      </c>
      <c r="M381" s="356" t="s">
        <v>782</v>
      </c>
      <c r="N381" s="355"/>
    </row>
    <row r="382" spans="2:14" ht="15" customHeight="1">
      <c r="B382" s="602" t="s">
        <v>150</v>
      </c>
      <c r="C382" s="988" t="s">
        <v>783</v>
      </c>
      <c r="D382" s="1579"/>
      <c r="E382" s="1076" t="s">
        <v>784</v>
      </c>
      <c r="F382" s="1265"/>
      <c r="G382" s="1582"/>
      <c r="H382" s="394">
        <v>20</v>
      </c>
      <c r="I382" s="346" t="s">
        <v>779</v>
      </c>
      <c r="J382" s="356" t="s">
        <v>780</v>
      </c>
      <c r="K382" s="1027">
        <v>54</v>
      </c>
      <c r="L382" s="356" t="s">
        <v>781</v>
      </c>
      <c r="M382" s="356" t="s">
        <v>782</v>
      </c>
      <c r="N382" s="355"/>
    </row>
    <row r="383" spans="2:14" ht="15" customHeight="1">
      <c r="B383" s="602" t="s">
        <v>150</v>
      </c>
      <c r="C383" s="988" t="s">
        <v>785</v>
      </c>
      <c r="D383" s="1580"/>
      <c r="E383" s="1076" t="s">
        <v>786</v>
      </c>
      <c r="F383" s="1266"/>
      <c r="G383" s="1583"/>
      <c r="H383" s="394">
        <v>20</v>
      </c>
      <c r="I383" s="346" t="s">
        <v>779</v>
      </c>
      <c r="J383" s="356" t="s">
        <v>780</v>
      </c>
      <c r="K383" s="1027">
        <v>54</v>
      </c>
      <c r="L383" s="356" t="s">
        <v>781</v>
      </c>
      <c r="M383" s="356" t="s">
        <v>782</v>
      </c>
      <c r="N383" s="355"/>
    </row>
    <row r="384" spans="2:14" ht="15">
      <c r="C384" s="882" t="s">
        <v>247</v>
      </c>
      <c r="D384" s="243"/>
      <c r="E384" s="256"/>
      <c r="F384" s="243"/>
      <c r="G384" s="256"/>
      <c r="H384" s="256"/>
      <c r="I384" s="256"/>
      <c r="J384" s="256"/>
      <c r="K384" s="256"/>
      <c r="L384" s="256"/>
      <c r="M384" s="256"/>
      <c r="N384" s="256"/>
    </row>
    <row r="385" spans="2:14" ht="31.5" customHeight="1" thickBot="1">
      <c r="C385" s="63" t="s">
        <v>787</v>
      </c>
      <c r="E385" s="22"/>
      <c r="F385" s="21"/>
      <c r="G385" s="549"/>
      <c r="H385" s="1133" t="s">
        <v>101</v>
      </c>
      <c r="I385" s="1675"/>
      <c r="J385" s="1676"/>
      <c r="K385" s="1133" t="s">
        <v>102</v>
      </c>
      <c r="L385" s="1675"/>
      <c r="M385" s="1676"/>
      <c r="N385" s="26"/>
    </row>
    <row r="386" spans="2:14" ht="15" customHeight="1">
      <c r="C386" s="29" t="s">
        <v>103</v>
      </c>
      <c r="D386" s="32" t="s">
        <v>104</v>
      </c>
      <c r="E386" s="42" t="s">
        <v>105</v>
      </c>
      <c r="F386" s="31" t="s">
        <v>106</v>
      </c>
      <c r="G386" s="32" t="s">
        <v>107</v>
      </c>
      <c r="H386" s="32" t="s">
        <v>108</v>
      </c>
      <c r="I386" s="32" t="s">
        <v>109</v>
      </c>
      <c r="J386" s="32" t="s">
        <v>110</v>
      </c>
      <c r="K386" s="32" t="s">
        <v>111</v>
      </c>
      <c r="L386" s="32" t="s">
        <v>109</v>
      </c>
      <c r="M386" s="32" t="s">
        <v>110</v>
      </c>
      <c r="N386" s="37"/>
    </row>
    <row r="387" spans="2:14" ht="15" customHeight="1">
      <c r="C387" s="251" t="s">
        <v>788</v>
      </c>
      <c r="D387" s="1119" t="s">
        <v>250</v>
      </c>
      <c r="E387" s="307" t="s">
        <v>789</v>
      </c>
      <c r="F387" s="1127" t="s">
        <v>108</v>
      </c>
      <c r="G387" s="589">
        <v>3.3</v>
      </c>
      <c r="H387" s="1298">
        <v>20</v>
      </c>
      <c r="I387" s="1345">
        <v>20.16</v>
      </c>
      <c r="J387" s="1324" t="s">
        <v>790</v>
      </c>
      <c r="K387" s="1200">
        <v>36</v>
      </c>
      <c r="L387" s="1385" t="s">
        <v>791</v>
      </c>
      <c r="M387" s="1324" t="s">
        <v>792</v>
      </c>
      <c r="N387" s="355"/>
    </row>
    <row r="388" spans="2:14" ht="15" customHeight="1">
      <c r="B388" s="25"/>
      <c r="C388" s="252" t="s">
        <v>793</v>
      </c>
      <c r="D388" s="1119"/>
      <c r="E388" s="319" t="s">
        <v>794</v>
      </c>
      <c r="F388" s="1575"/>
      <c r="G388" s="226">
        <v>3.9</v>
      </c>
      <c r="H388" s="1299"/>
      <c r="I388" s="1346"/>
      <c r="J388" s="1325"/>
      <c r="K388" s="1201"/>
      <c r="L388" s="1386"/>
      <c r="M388" s="1325"/>
      <c r="N388" s="355"/>
    </row>
    <row r="389" spans="2:14" ht="15" customHeight="1">
      <c r="B389" s="21" t="s">
        <v>795</v>
      </c>
      <c r="C389" s="261" t="s">
        <v>796</v>
      </c>
      <c r="D389" s="1119"/>
      <c r="E389" s="306" t="s">
        <v>797</v>
      </c>
      <c r="F389" s="1127"/>
      <c r="G389" s="1179">
        <v>3.3</v>
      </c>
      <c r="H389" s="1480">
        <v>20</v>
      </c>
      <c r="I389" s="1327">
        <v>20.14</v>
      </c>
      <c r="J389" s="1245">
        <v>47.64</v>
      </c>
      <c r="K389" s="1330">
        <v>54</v>
      </c>
      <c r="L389" s="1367">
        <v>1087.56</v>
      </c>
      <c r="M389" s="1245">
        <v>2572.56</v>
      </c>
      <c r="N389" s="355"/>
    </row>
    <row r="390" spans="2:14" ht="15" customHeight="1" thickBot="1">
      <c r="B390" s="21" t="s">
        <v>795</v>
      </c>
      <c r="C390" s="261" t="s">
        <v>798</v>
      </c>
      <c r="D390" s="1119"/>
      <c r="E390" s="307" t="s">
        <v>799</v>
      </c>
      <c r="F390" s="1127"/>
      <c r="G390" s="1697"/>
      <c r="H390" s="1721"/>
      <c r="I390" s="1711"/>
      <c r="J390" s="1713"/>
      <c r="K390" s="1711"/>
      <c r="L390" s="1722"/>
      <c r="M390" s="1713"/>
      <c r="N390" s="355"/>
    </row>
    <row r="391" spans="2:14" ht="15" customHeight="1" thickBot="1">
      <c r="B391" s="21" t="s">
        <v>795</v>
      </c>
      <c r="C391" s="261" t="s">
        <v>800</v>
      </c>
      <c r="D391" s="1119"/>
      <c r="E391" s="307" t="s">
        <v>789</v>
      </c>
      <c r="F391" s="1127"/>
      <c r="G391" s="1697"/>
      <c r="H391" s="1721"/>
      <c r="I391" s="1711"/>
      <c r="J391" s="1713"/>
      <c r="K391" s="1711"/>
      <c r="L391" s="1722"/>
      <c r="M391" s="1713"/>
      <c r="N391" s="355"/>
    </row>
    <row r="392" spans="2:14" ht="15" customHeight="1" thickBot="1">
      <c r="B392" s="21" t="s">
        <v>795</v>
      </c>
      <c r="C392" s="261" t="s">
        <v>801</v>
      </c>
      <c r="D392" s="1119"/>
      <c r="E392" s="319" t="s">
        <v>794</v>
      </c>
      <c r="F392" s="1575"/>
      <c r="G392" s="226">
        <v>3.9</v>
      </c>
      <c r="H392" s="1723"/>
      <c r="I392" s="1724"/>
      <c r="J392" s="1725"/>
      <c r="K392" s="1724"/>
      <c r="L392" s="1678"/>
      <c r="M392" s="1725"/>
      <c r="N392" s="355"/>
    </row>
    <row r="393" spans="2:14" ht="15" customHeight="1" thickBot="1">
      <c r="B393" s="602" t="s">
        <v>150</v>
      </c>
      <c r="C393" s="261" t="s">
        <v>802</v>
      </c>
      <c r="D393" s="1119"/>
      <c r="E393" s="319" t="s">
        <v>803</v>
      </c>
      <c r="F393" s="1127"/>
      <c r="G393" s="596">
        <v>4.5</v>
      </c>
      <c r="H393" s="1461">
        <v>20</v>
      </c>
      <c r="I393" s="1212">
        <v>19.73</v>
      </c>
      <c r="J393" s="1338">
        <v>39.68</v>
      </c>
      <c r="K393" s="1461">
        <v>54</v>
      </c>
      <c r="L393" s="1338">
        <v>1065.42</v>
      </c>
      <c r="M393" s="1338">
        <v>2142.7199999999998</v>
      </c>
      <c r="N393" s="355"/>
    </row>
    <row r="394" spans="2:14" ht="15" thickBot="1">
      <c r="B394" s="602" t="s">
        <v>150</v>
      </c>
      <c r="C394" s="261" t="s">
        <v>804</v>
      </c>
      <c r="D394" s="1119"/>
      <c r="E394" s="319" t="s">
        <v>805</v>
      </c>
      <c r="F394" s="1127"/>
      <c r="G394" s="596">
        <v>4.5</v>
      </c>
      <c r="H394" s="1722"/>
      <c r="I394" s="1722"/>
      <c r="J394" s="1722"/>
      <c r="K394" s="1722"/>
      <c r="L394" s="1722"/>
      <c r="M394" s="1722"/>
      <c r="N394" s="355"/>
    </row>
    <row r="395" spans="2:14" ht="15" thickBot="1">
      <c r="B395" s="602" t="s">
        <v>150</v>
      </c>
      <c r="C395" s="261" t="s">
        <v>806</v>
      </c>
      <c r="D395" s="1119"/>
      <c r="E395" s="319" t="s">
        <v>807</v>
      </c>
      <c r="F395" s="1127"/>
      <c r="G395" s="596">
        <v>4.5</v>
      </c>
      <c r="H395" s="1722"/>
      <c r="I395" s="1722"/>
      <c r="J395" s="1722"/>
      <c r="K395" s="1722"/>
      <c r="L395" s="1722"/>
      <c r="M395" s="1722"/>
      <c r="N395" s="355"/>
    </row>
    <row r="396" spans="2:14" ht="15" thickBot="1">
      <c r="B396" s="602" t="s">
        <v>150</v>
      </c>
      <c r="C396" s="261" t="s">
        <v>808</v>
      </c>
      <c r="D396" s="1119"/>
      <c r="E396" s="319" t="s">
        <v>809</v>
      </c>
      <c r="F396" s="1127"/>
      <c r="G396" s="596">
        <v>4.5</v>
      </c>
      <c r="H396" s="1678"/>
      <c r="I396" s="1678"/>
      <c r="J396" s="1678"/>
      <c r="K396" s="1678"/>
      <c r="L396" s="1678"/>
      <c r="M396" s="1678"/>
      <c r="N396" s="355"/>
    </row>
    <row r="397" spans="2:14" ht="15" thickBot="1">
      <c r="B397" s="602" t="s">
        <v>150</v>
      </c>
      <c r="C397" s="261" t="s">
        <v>810</v>
      </c>
      <c r="D397" s="1119"/>
      <c r="E397" s="319" t="s">
        <v>811</v>
      </c>
      <c r="F397" s="1127"/>
      <c r="G397" s="596">
        <v>5.4</v>
      </c>
      <c r="H397" s="1461">
        <v>20</v>
      </c>
      <c r="I397" s="1326">
        <v>19.12</v>
      </c>
      <c r="J397" s="1338">
        <v>46.3</v>
      </c>
      <c r="K397" s="1461">
        <v>54</v>
      </c>
      <c r="L397" s="1338">
        <v>1032.48</v>
      </c>
      <c r="M397" s="1338">
        <v>2500.1999999999998</v>
      </c>
      <c r="N397" s="355"/>
    </row>
    <row r="398" spans="2:14" ht="15" thickBot="1">
      <c r="B398" s="602" t="s">
        <v>150</v>
      </c>
      <c r="C398" s="261" t="s">
        <v>812</v>
      </c>
      <c r="D398" s="1119"/>
      <c r="E398" s="319" t="s">
        <v>813</v>
      </c>
      <c r="F398" s="1127"/>
      <c r="G398" s="596">
        <v>5.4</v>
      </c>
      <c r="H398" s="1722"/>
      <c r="I398" s="1722"/>
      <c r="J398" s="1722"/>
      <c r="K398" s="1722"/>
      <c r="L398" s="1722"/>
      <c r="M398" s="1722"/>
      <c r="N398" s="355"/>
    </row>
    <row r="399" spans="2:14" ht="15" thickBot="1">
      <c r="B399" s="602" t="s">
        <v>150</v>
      </c>
      <c r="C399" s="261" t="s">
        <v>814</v>
      </c>
      <c r="D399" s="1119"/>
      <c r="E399" s="319" t="s">
        <v>815</v>
      </c>
      <c r="F399" s="1127"/>
      <c r="G399" s="596">
        <v>5.4</v>
      </c>
      <c r="H399" s="1722"/>
      <c r="I399" s="1722"/>
      <c r="J399" s="1722"/>
      <c r="K399" s="1722"/>
      <c r="L399" s="1722"/>
      <c r="M399" s="1722"/>
      <c r="N399" s="355"/>
    </row>
    <row r="400" spans="2:14" ht="15" thickBot="1">
      <c r="B400" s="602" t="s">
        <v>150</v>
      </c>
      <c r="C400" s="261" t="s">
        <v>816</v>
      </c>
      <c r="D400" s="1400"/>
      <c r="E400" s="319" t="s">
        <v>817</v>
      </c>
      <c r="F400" s="1127"/>
      <c r="G400" s="596">
        <v>5.4</v>
      </c>
      <c r="H400" s="1678"/>
      <c r="I400" s="1678"/>
      <c r="J400" s="1678"/>
      <c r="K400" s="1678"/>
      <c r="L400" s="1678"/>
      <c r="M400" s="1678"/>
      <c r="N400" s="355"/>
    </row>
    <row r="401" spans="2:14" ht="15" thickBot="1">
      <c r="C401" s="256"/>
      <c r="D401" s="243"/>
      <c r="E401" s="242"/>
      <c r="F401" s="243"/>
      <c r="G401" s="323"/>
      <c r="H401" s="89"/>
      <c r="I401" s="90"/>
      <c r="J401" s="90"/>
      <c r="K401" s="89"/>
      <c r="L401" s="90"/>
      <c r="M401" s="90"/>
      <c r="N401" s="91"/>
    </row>
    <row r="402" spans="2:14" ht="31.5" customHeight="1" thickBot="1">
      <c r="C402" s="63" t="s">
        <v>818</v>
      </c>
      <c r="G402" s="549"/>
      <c r="H402" s="1133" t="s">
        <v>101</v>
      </c>
      <c r="I402" s="1675"/>
      <c r="J402" s="1676"/>
      <c r="K402" s="1133" t="s">
        <v>102</v>
      </c>
      <c r="L402" s="1675"/>
      <c r="M402" s="1676"/>
      <c r="N402" s="26"/>
    </row>
    <row r="403" spans="2:14" ht="15" customHeight="1" thickBot="1">
      <c r="C403" s="29" t="s">
        <v>103</v>
      </c>
      <c r="D403" s="31" t="s">
        <v>104</v>
      </c>
      <c r="E403" s="42" t="s">
        <v>105</v>
      </c>
      <c r="F403" s="31" t="s">
        <v>106</v>
      </c>
      <c r="G403" s="32" t="s">
        <v>107</v>
      </c>
      <c r="H403" s="43" t="s">
        <v>108</v>
      </c>
      <c r="I403" s="44" t="s">
        <v>109</v>
      </c>
      <c r="J403" s="55" t="s">
        <v>110</v>
      </c>
      <c r="K403" s="43" t="s">
        <v>111</v>
      </c>
      <c r="L403" s="44" t="s">
        <v>109</v>
      </c>
      <c r="M403" s="55" t="s">
        <v>110</v>
      </c>
      <c r="N403" s="37"/>
    </row>
    <row r="404" spans="2:14" ht="15" customHeight="1" thickBot="1">
      <c r="B404" s="21" t="s">
        <v>213</v>
      </c>
      <c r="C404" s="250" t="s">
        <v>819</v>
      </c>
      <c r="D404" s="255" t="s">
        <v>820</v>
      </c>
      <c r="E404" s="240" t="s">
        <v>821</v>
      </c>
      <c r="F404" s="255" t="s">
        <v>109</v>
      </c>
      <c r="G404" s="1179">
        <v>2.2200000000000002</v>
      </c>
      <c r="H404" s="324">
        <v>7</v>
      </c>
      <c r="I404" s="325">
        <v>13.132</v>
      </c>
      <c r="J404" s="326">
        <v>41.328099999999999</v>
      </c>
      <c r="K404" s="324">
        <v>42</v>
      </c>
      <c r="L404" s="325">
        <v>551.54</v>
      </c>
      <c r="M404" s="326">
        <v>1735.78</v>
      </c>
      <c r="N404" s="37"/>
    </row>
    <row r="405" spans="2:14">
      <c r="B405" s="51"/>
      <c r="C405" s="250" t="s">
        <v>822</v>
      </c>
      <c r="D405" s="1118" t="s">
        <v>823</v>
      </c>
      <c r="E405" s="240" t="s">
        <v>824</v>
      </c>
      <c r="F405" s="1118" t="s">
        <v>109</v>
      </c>
      <c r="G405" s="1697"/>
      <c r="H405" s="1241">
        <v>38</v>
      </c>
      <c r="I405" s="1238">
        <v>11.2484</v>
      </c>
      <c r="J405" s="1150">
        <v>27.05</v>
      </c>
      <c r="K405" s="1241">
        <v>78</v>
      </c>
      <c r="L405" s="1189">
        <v>877.5</v>
      </c>
      <c r="M405" s="1297">
        <v>2110.37</v>
      </c>
      <c r="N405" s="355"/>
    </row>
    <row r="406" spans="2:14" ht="15" thickBot="1">
      <c r="C406" s="252" t="s">
        <v>825</v>
      </c>
      <c r="D406" s="1120"/>
      <c r="E406" s="1" t="s">
        <v>826</v>
      </c>
      <c r="F406" s="1120"/>
      <c r="G406" s="1697"/>
      <c r="H406" s="1686"/>
      <c r="I406" s="1686"/>
      <c r="J406" s="1689"/>
      <c r="K406" s="1686"/>
      <c r="L406" s="1687"/>
      <c r="M406" s="1689"/>
      <c r="N406" s="355"/>
    </row>
    <row r="407" spans="2:14">
      <c r="C407" s="244" t="s">
        <v>827</v>
      </c>
      <c r="D407" s="1118" t="s">
        <v>828</v>
      </c>
      <c r="E407" s="240" t="s">
        <v>829</v>
      </c>
      <c r="F407" s="1118" t="s">
        <v>109</v>
      </c>
      <c r="G407" s="1697"/>
      <c r="H407" s="1686"/>
      <c r="I407" s="1686"/>
      <c r="J407" s="1689"/>
      <c r="K407" s="1686"/>
      <c r="L407" s="1687"/>
      <c r="M407" s="1689"/>
      <c r="N407" s="355"/>
    </row>
    <row r="408" spans="2:14" ht="15" thickBot="1">
      <c r="C408" s="289" t="s">
        <v>830</v>
      </c>
      <c r="D408" s="1119"/>
      <c r="E408" s="246" t="s">
        <v>831</v>
      </c>
      <c r="F408" s="1119"/>
      <c r="G408" s="1697"/>
      <c r="H408" s="1686"/>
      <c r="I408" s="1686"/>
      <c r="J408" s="1689"/>
      <c r="K408" s="1686"/>
      <c r="L408" s="1687"/>
      <c r="M408" s="1689"/>
      <c r="N408" s="355"/>
    </row>
    <row r="409" spans="2:14">
      <c r="C409" s="250" t="s">
        <v>832</v>
      </c>
      <c r="D409" s="1118" t="s">
        <v>833</v>
      </c>
      <c r="E409" s="240" t="s">
        <v>834</v>
      </c>
      <c r="F409" s="1118" t="s">
        <v>109</v>
      </c>
      <c r="G409" s="1215">
        <v>1.74</v>
      </c>
      <c r="H409" s="1241">
        <v>80</v>
      </c>
      <c r="I409" s="1238">
        <v>10</v>
      </c>
      <c r="J409" s="1150">
        <v>22.7166</v>
      </c>
      <c r="K409" s="1241">
        <v>60</v>
      </c>
      <c r="L409" s="1189">
        <v>600</v>
      </c>
      <c r="M409" s="1150">
        <v>1363.2</v>
      </c>
      <c r="N409" s="355"/>
    </row>
    <row r="410" spans="2:14">
      <c r="C410" s="289" t="s">
        <v>835</v>
      </c>
      <c r="D410" s="1119"/>
      <c r="E410" s="246" t="s">
        <v>836</v>
      </c>
      <c r="F410" s="1119"/>
      <c r="G410" s="1697"/>
      <c r="H410" s="1686"/>
      <c r="I410" s="1686"/>
      <c r="J410" s="1689"/>
      <c r="K410" s="1686"/>
      <c r="L410" s="1687"/>
      <c r="M410" s="1689"/>
      <c r="N410" s="355"/>
    </row>
    <row r="411" spans="2:14">
      <c r="C411" s="251" t="s">
        <v>837</v>
      </c>
      <c r="D411" s="1119"/>
      <c r="E411" s="241" t="s">
        <v>838</v>
      </c>
      <c r="F411" s="1119"/>
      <c r="G411" s="1697"/>
      <c r="H411" s="1686"/>
      <c r="I411" s="1686"/>
      <c r="J411" s="1689"/>
      <c r="K411" s="1686"/>
      <c r="L411" s="1687"/>
      <c r="M411" s="1689"/>
      <c r="N411" s="355"/>
    </row>
    <row r="412" spans="2:14">
      <c r="C412" s="251" t="s">
        <v>839</v>
      </c>
      <c r="D412" s="1119"/>
      <c r="E412" s="241" t="s">
        <v>840</v>
      </c>
      <c r="F412" s="1119"/>
      <c r="G412" s="1719"/>
      <c r="H412" s="1686"/>
      <c r="I412" s="1686"/>
      <c r="J412" s="1689"/>
      <c r="K412" s="1686"/>
      <c r="L412" s="1687"/>
      <c r="M412" s="1689"/>
      <c r="N412" s="355"/>
    </row>
    <row r="413" spans="2:14" ht="15" thickBot="1">
      <c r="C413" s="251" t="s">
        <v>841</v>
      </c>
      <c r="D413" s="1119"/>
      <c r="E413" s="241" t="s">
        <v>842</v>
      </c>
      <c r="F413" s="1119"/>
      <c r="G413" s="580">
        <v>1.98</v>
      </c>
      <c r="H413" s="1686"/>
      <c r="I413" s="1686"/>
      <c r="J413" s="1689"/>
      <c r="K413" s="1686"/>
      <c r="L413" s="1687"/>
      <c r="M413" s="1689"/>
      <c r="N413" s="355"/>
    </row>
    <row r="414" spans="2:14" ht="15" thickBot="1">
      <c r="C414" s="240" t="s">
        <v>843</v>
      </c>
      <c r="D414" s="1118" t="s">
        <v>844</v>
      </c>
      <c r="E414" s="240" t="s">
        <v>845</v>
      </c>
      <c r="F414" s="1118" t="s">
        <v>109</v>
      </c>
      <c r="G414" s="1170">
        <v>1.86</v>
      </c>
      <c r="H414" s="1117">
        <v>80</v>
      </c>
      <c r="I414" s="1128">
        <v>10</v>
      </c>
      <c r="J414" s="1116">
        <v>22.7166</v>
      </c>
      <c r="K414" s="1117">
        <v>60</v>
      </c>
      <c r="L414" s="1114">
        <v>600</v>
      </c>
      <c r="M414" s="1116">
        <v>1363.2</v>
      </c>
      <c r="N414" s="355"/>
    </row>
    <row r="415" spans="2:14">
      <c r="C415" s="241" t="s">
        <v>846</v>
      </c>
      <c r="D415" s="1119"/>
      <c r="E415" s="241" t="s">
        <v>847</v>
      </c>
      <c r="F415" s="1119"/>
      <c r="G415" s="1697"/>
      <c r="H415" s="1686"/>
      <c r="I415" s="1686"/>
      <c r="J415" s="1689"/>
      <c r="K415" s="1686"/>
      <c r="L415" s="1687"/>
      <c r="M415" s="1689"/>
      <c r="N415" s="355"/>
    </row>
    <row r="416" spans="2:14" ht="15" thickBot="1">
      <c r="C416" s="241" t="s">
        <v>848</v>
      </c>
      <c r="D416" s="1120"/>
      <c r="E416" s="241" t="s">
        <v>849</v>
      </c>
      <c r="F416" s="1120"/>
      <c r="G416" s="1700"/>
      <c r="H416" s="1690"/>
      <c r="I416" s="1690"/>
      <c r="J416" s="1694"/>
      <c r="K416" s="1690"/>
      <c r="L416" s="1692"/>
      <c r="M416" s="1694"/>
      <c r="N416" s="355"/>
    </row>
    <row r="417" spans="1:14" ht="15" customHeight="1" thickBot="1">
      <c r="C417" s="92"/>
      <c r="D417" s="243"/>
      <c r="E417" s="242"/>
      <c r="F417" s="243"/>
      <c r="G417" s="243"/>
      <c r="H417" s="243"/>
      <c r="I417" s="328"/>
      <c r="J417" s="328"/>
      <c r="K417" s="243"/>
      <c r="L417" s="328"/>
      <c r="M417" s="328"/>
      <c r="N417" s="328"/>
    </row>
    <row r="418" spans="1:14" ht="25.5" customHeight="1" thickBot="1">
      <c r="B418" s="74"/>
      <c r="C418" s="19" t="s">
        <v>850</v>
      </c>
      <c r="G418" s="549"/>
      <c r="H418" s="1133" t="s">
        <v>101</v>
      </c>
      <c r="I418" s="1675"/>
      <c r="J418" s="1676"/>
      <c r="K418" s="1133" t="s">
        <v>102</v>
      </c>
      <c r="L418" s="1675"/>
      <c r="M418" s="1676"/>
      <c r="N418" s="26"/>
    </row>
    <row r="419" spans="1:14" ht="15" customHeight="1" thickBot="1">
      <c r="C419" s="29" t="s">
        <v>103</v>
      </c>
      <c r="D419" s="32" t="s">
        <v>104</v>
      </c>
      <c r="E419" s="42" t="s">
        <v>105</v>
      </c>
      <c r="F419" s="32" t="s">
        <v>106</v>
      </c>
      <c r="G419" s="32" t="s">
        <v>107</v>
      </c>
      <c r="H419" s="43" t="s">
        <v>108</v>
      </c>
      <c r="I419" s="44" t="s">
        <v>109</v>
      </c>
      <c r="J419" s="55" t="s">
        <v>110</v>
      </c>
      <c r="K419" s="43" t="s">
        <v>111</v>
      </c>
      <c r="L419" s="44" t="s">
        <v>109</v>
      </c>
      <c r="M419" s="55" t="s">
        <v>110</v>
      </c>
      <c r="N419" s="37"/>
    </row>
    <row r="420" spans="1:14" ht="15" customHeight="1" thickBot="1">
      <c r="B420" s="21" t="s">
        <v>112</v>
      </c>
      <c r="C420" s="250" t="s">
        <v>851</v>
      </c>
      <c r="D420" s="1118" t="s">
        <v>852</v>
      </c>
      <c r="E420" s="254" t="s">
        <v>853</v>
      </c>
      <c r="F420" s="1118" t="s">
        <v>109</v>
      </c>
      <c r="G420" s="1293">
        <v>2.88</v>
      </c>
      <c r="H420" s="1300">
        <v>5</v>
      </c>
      <c r="I420" s="1369">
        <v>12.92</v>
      </c>
      <c r="J420" s="1369">
        <v>52.92</v>
      </c>
      <c r="K420" s="1455">
        <v>45</v>
      </c>
      <c r="L420" s="1369">
        <v>581.22</v>
      </c>
      <c r="M420" s="1135">
        <v>2381.4</v>
      </c>
      <c r="N420" s="37"/>
    </row>
    <row r="421" spans="1:14">
      <c r="C421" s="897" t="s">
        <v>854</v>
      </c>
      <c r="D421" s="1119"/>
      <c r="E421" s="244" t="s">
        <v>855</v>
      </c>
      <c r="F421" s="1119"/>
      <c r="G421" s="1677"/>
      <c r="H421" s="1686"/>
      <c r="I421" s="1687"/>
      <c r="J421" s="1687"/>
      <c r="K421" s="1687"/>
      <c r="L421" s="1687"/>
      <c r="M421" s="1689"/>
      <c r="N421" s="37"/>
    </row>
    <row r="422" spans="1:14">
      <c r="C422" s="887" t="s">
        <v>856</v>
      </c>
      <c r="D422" s="1119"/>
      <c r="E422" s="247" t="s">
        <v>857</v>
      </c>
      <c r="F422" s="1119"/>
      <c r="G422" s="1677"/>
      <c r="H422" s="1691"/>
      <c r="I422" s="1718"/>
      <c r="J422" s="1718"/>
      <c r="K422" s="1718"/>
      <c r="L422" s="1718"/>
      <c r="M422" s="1705"/>
      <c r="N422" s="37"/>
    </row>
    <row r="423" spans="1:14" ht="16.350000000000001" customHeight="1" thickBot="1">
      <c r="B423" s="21" t="s">
        <v>795</v>
      </c>
      <c r="C423" s="888" t="s">
        <v>858</v>
      </c>
      <c r="D423" s="1119"/>
      <c r="E423" s="249" t="s">
        <v>853</v>
      </c>
      <c r="F423" s="1119"/>
      <c r="G423" s="1677"/>
      <c r="H423" s="1570">
        <v>5</v>
      </c>
      <c r="I423" s="1197">
        <v>12.916</v>
      </c>
      <c r="J423" s="1197">
        <v>51.92</v>
      </c>
      <c r="K423" s="1360">
        <v>48</v>
      </c>
      <c r="L423" s="1197">
        <v>620.16</v>
      </c>
      <c r="M423" s="1444">
        <v>2491.92</v>
      </c>
      <c r="N423" s="37"/>
    </row>
    <row r="424" spans="1:14" ht="16.350000000000001" customHeight="1" thickBot="1">
      <c r="B424" s="21" t="s">
        <v>795</v>
      </c>
      <c r="C424" s="886" t="s">
        <v>859</v>
      </c>
      <c r="D424" s="1120"/>
      <c r="E424" s="249" t="s">
        <v>857</v>
      </c>
      <c r="F424" s="1120"/>
      <c r="G424" s="1679"/>
      <c r="H424" s="1691"/>
      <c r="I424" s="1718"/>
      <c r="J424" s="1718"/>
      <c r="K424" s="1718"/>
      <c r="L424" s="1718"/>
      <c r="M424" s="1705"/>
      <c r="N424" s="37"/>
    </row>
    <row r="425" spans="1:14" s="94" customFormat="1" ht="12" customHeight="1" thickBot="1">
      <c r="A425" s="93"/>
      <c r="B425" s="21"/>
      <c r="C425" s="882" t="s">
        <v>247</v>
      </c>
      <c r="D425" s="243"/>
      <c r="E425" s="242"/>
      <c r="F425" s="243"/>
      <c r="G425" s="243"/>
      <c r="H425" s="242"/>
      <c r="I425" s="243"/>
      <c r="J425" s="242"/>
      <c r="K425" s="243"/>
      <c r="L425" s="242"/>
      <c r="M425" s="243"/>
      <c r="N425" s="243"/>
    </row>
    <row r="426" spans="1:14" s="94" customFormat="1" ht="32.1" customHeight="1" thickBot="1">
      <c r="A426" s="93"/>
      <c r="B426" s="21"/>
      <c r="C426" s="95" t="s">
        <v>860</v>
      </c>
      <c r="D426" s="232"/>
      <c r="E426" s="93"/>
      <c r="F426" s="21"/>
      <c r="G426" s="93"/>
      <c r="H426" s="1311" t="s">
        <v>101</v>
      </c>
      <c r="I426" s="1726"/>
      <c r="J426" s="1727"/>
      <c r="K426" s="1311" t="s">
        <v>102</v>
      </c>
      <c r="L426" s="1726"/>
      <c r="M426" s="1727"/>
      <c r="N426" s="96"/>
    </row>
    <row r="427" spans="1:14" s="94" customFormat="1" ht="15" customHeight="1" thickBot="1">
      <c r="A427" s="93"/>
      <c r="B427" s="511"/>
      <c r="C427" s="97" t="s">
        <v>103</v>
      </c>
      <c r="D427" s="99" t="s">
        <v>104</v>
      </c>
      <c r="E427" s="98" t="s">
        <v>105</v>
      </c>
      <c r="F427" s="99" t="s">
        <v>106</v>
      </c>
      <c r="G427" s="557" t="s">
        <v>107</v>
      </c>
      <c r="H427" s="995" t="s">
        <v>108</v>
      </c>
      <c r="I427" s="100" t="s">
        <v>109</v>
      </c>
      <c r="J427" s="101" t="s">
        <v>110</v>
      </c>
      <c r="K427" s="102" t="s">
        <v>111</v>
      </c>
      <c r="L427" s="100" t="s">
        <v>109</v>
      </c>
      <c r="M427" s="102" t="s">
        <v>110</v>
      </c>
      <c r="N427" s="103"/>
    </row>
    <row r="428" spans="1:14" s="94" customFormat="1" ht="15" customHeight="1" thickBot="1">
      <c r="A428" s="93"/>
      <c r="B428" s="21" t="s">
        <v>213</v>
      </c>
      <c r="C428" s="459" t="s">
        <v>861</v>
      </c>
      <c r="D428" s="1121" t="s">
        <v>862</v>
      </c>
      <c r="E428" s="104" t="s">
        <v>863</v>
      </c>
      <c r="F428" s="1122" t="s">
        <v>109</v>
      </c>
      <c r="G428" s="558">
        <v>2.34</v>
      </c>
      <c r="H428" s="1115">
        <v>32</v>
      </c>
      <c r="I428" s="1337">
        <v>11.52</v>
      </c>
      <c r="J428" s="1156">
        <v>29.57</v>
      </c>
      <c r="K428" s="1331">
        <v>75</v>
      </c>
      <c r="L428" s="1452">
        <v>863.81</v>
      </c>
      <c r="M428" s="1481">
        <v>2217.6</v>
      </c>
      <c r="N428" s="355"/>
    </row>
    <row r="429" spans="1:14" s="94" customFormat="1" ht="15" thickBot="1">
      <c r="A429" s="93"/>
      <c r="B429" s="511"/>
      <c r="C429" s="460" t="s">
        <v>864</v>
      </c>
      <c r="D429" s="1122"/>
      <c r="E429" s="105" t="s">
        <v>865</v>
      </c>
      <c r="F429" s="1122"/>
      <c r="G429" s="1341">
        <v>2.88</v>
      </c>
      <c r="H429" s="1711"/>
      <c r="I429" s="1722"/>
      <c r="J429" s="1713"/>
      <c r="K429" s="1711"/>
      <c r="L429" s="1722"/>
      <c r="M429" s="1713"/>
      <c r="N429" s="355"/>
    </row>
    <row r="430" spans="1:14" s="94" customFormat="1">
      <c r="A430" s="93"/>
      <c r="B430" s="511"/>
      <c r="C430" s="460" t="s">
        <v>866</v>
      </c>
      <c r="D430" s="1122"/>
      <c r="E430" s="105" t="s">
        <v>867</v>
      </c>
      <c r="F430" s="1122"/>
      <c r="G430" s="1711"/>
      <c r="H430" s="1711"/>
      <c r="I430" s="1722"/>
      <c r="J430" s="1713"/>
      <c r="K430" s="1711"/>
      <c r="L430" s="1722"/>
      <c r="M430" s="1713"/>
      <c r="N430" s="355"/>
    </row>
    <row r="431" spans="1:14" s="94" customFormat="1" ht="15" thickBot="1">
      <c r="A431" s="93"/>
      <c r="B431" s="511"/>
      <c r="C431" s="461" t="s">
        <v>868</v>
      </c>
      <c r="D431" s="1123"/>
      <c r="E431" s="107" t="s">
        <v>869</v>
      </c>
      <c r="F431" s="1123"/>
      <c r="G431" s="1712"/>
      <c r="H431" s="1724"/>
      <c r="I431" s="1678"/>
      <c r="J431" s="1725"/>
      <c r="K431" s="1711"/>
      <c r="L431" s="1722"/>
      <c r="M431" s="1713"/>
      <c r="N431" s="355"/>
    </row>
    <row r="432" spans="1:14" s="94" customFormat="1" ht="15" thickBot="1">
      <c r="A432" s="93"/>
      <c r="B432" s="511"/>
      <c r="C432" s="462" t="s">
        <v>870</v>
      </c>
      <c r="D432" s="1121" t="s">
        <v>178</v>
      </c>
      <c r="E432" s="109" t="s">
        <v>871</v>
      </c>
      <c r="F432" s="1121" t="s">
        <v>109</v>
      </c>
      <c r="G432" s="559">
        <v>2.34</v>
      </c>
      <c r="H432" s="1418">
        <v>50</v>
      </c>
      <c r="I432" s="1146">
        <v>12.64</v>
      </c>
      <c r="J432" s="1340">
        <v>29.95</v>
      </c>
      <c r="K432" s="1115">
        <v>78</v>
      </c>
      <c r="L432" s="1337" t="s">
        <v>872</v>
      </c>
      <c r="M432" s="1156">
        <v>2336.1</v>
      </c>
      <c r="N432" s="37"/>
    </row>
    <row r="433" spans="1:14" s="94" customFormat="1" ht="15" thickBot="1">
      <c r="A433" s="93"/>
      <c r="B433" s="511"/>
      <c r="C433" s="463" t="s">
        <v>873</v>
      </c>
      <c r="D433" s="1122"/>
      <c r="E433" s="110" t="s">
        <v>874</v>
      </c>
      <c r="F433" s="1122"/>
      <c r="G433" s="1341">
        <v>2.88</v>
      </c>
      <c r="H433" s="1711"/>
      <c r="I433" s="1722"/>
      <c r="J433" s="1728"/>
      <c r="K433" s="1711"/>
      <c r="L433" s="1722"/>
      <c r="M433" s="1713"/>
      <c r="N433" s="355"/>
    </row>
    <row r="434" spans="1:14" s="94" customFormat="1">
      <c r="A434" s="93"/>
      <c r="B434" s="511"/>
      <c r="C434" s="463" t="s">
        <v>875</v>
      </c>
      <c r="D434" s="1122"/>
      <c r="E434" s="110" t="s">
        <v>876</v>
      </c>
      <c r="F434" s="1122"/>
      <c r="G434" s="1711"/>
      <c r="H434" s="1711"/>
      <c r="I434" s="1722"/>
      <c r="J434" s="1728"/>
      <c r="K434" s="1711"/>
      <c r="L434" s="1722"/>
      <c r="M434" s="1713"/>
      <c r="N434" s="355"/>
    </row>
    <row r="435" spans="1:14" s="94" customFormat="1" ht="15" thickBot="1">
      <c r="A435" s="93"/>
      <c r="B435" s="511"/>
      <c r="C435" s="464" t="s">
        <v>877</v>
      </c>
      <c r="D435" s="1123"/>
      <c r="E435" s="229" t="s">
        <v>878</v>
      </c>
      <c r="F435" s="1122"/>
      <c r="G435" s="1712"/>
      <c r="H435" s="1724"/>
      <c r="I435" s="1714"/>
      <c r="J435" s="1729"/>
      <c r="K435" s="1724"/>
      <c r="L435" s="1678"/>
      <c r="M435" s="1725"/>
      <c r="N435" s="355"/>
    </row>
    <row r="436" spans="1:14" s="94" customFormat="1" ht="15" thickBot="1">
      <c r="A436" s="93"/>
      <c r="B436" s="511"/>
      <c r="C436" s="465" t="s">
        <v>879</v>
      </c>
      <c r="D436" s="106" t="s">
        <v>880</v>
      </c>
      <c r="E436" s="66" t="s">
        <v>881</v>
      </c>
      <c r="F436" s="113" t="s">
        <v>109</v>
      </c>
      <c r="G436" s="559">
        <v>1.86</v>
      </c>
      <c r="H436" s="996">
        <v>14</v>
      </c>
      <c r="I436" s="117">
        <v>19.61</v>
      </c>
      <c r="J436" s="447">
        <v>52.16</v>
      </c>
      <c r="K436" s="128">
        <v>40</v>
      </c>
      <c r="L436" s="446">
        <v>784.48</v>
      </c>
      <c r="M436" s="134">
        <v>2148.16</v>
      </c>
      <c r="N436" s="355"/>
    </row>
    <row r="437" spans="1:14" s="94" customFormat="1" ht="15" thickBot="1">
      <c r="A437" s="93"/>
      <c r="B437" s="516"/>
      <c r="C437" s="170" t="s">
        <v>882</v>
      </c>
      <c r="D437" s="1121" t="s">
        <v>862</v>
      </c>
      <c r="E437" s="111" t="s">
        <v>883</v>
      </c>
      <c r="F437" s="1556" t="s">
        <v>109</v>
      </c>
      <c r="G437" s="1341">
        <v>1.86</v>
      </c>
      <c r="H437" s="1161">
        <v>32</v>
      </c>
      <c r="I437" s="1204">
        <v>11.52</v>
      </c>
      <c r="J437" s="1541">
        <v>29.57</v>
      </c>
      <c r="K437" s="1555">
        <v>75</v>
      </c>
      <c r="L437" s="1536">
        <v>863.81</v>
      </c>
      <c r="M437" s="1296">
        <v>2217.6</v>
      </c>
      <c r="N437" s="37"/>
    </row>
    <row r="438" spans="1:14" s="94" customFormat="1">
      <c r="A438" s="93"/>
      <c r="B438" s="516"/>
      <c r="C438" s="224" t="s">
        <v>884</v>
      </c>
      <c r="D438" s="1122"/>
      <c r="E438" s="112" t="s">
        <v>885</v>
      </c>
      <c r="F438" s="1557"/>
      <c r="G438" s="1711"/>
      <c r="H438" s="1711"/>
      <c r="I438" s="1722"/>
      <c r="J438" s="1713"/>
      <c r="K438" s="1711"/>
      <c r="L438" s="1722"/>
      <c r="M438" s="1713"/>
      <c r="N438" s="355"/>
    </row>
    <row r="439" spans="1:14" s="94" customFormat="1">
      <c r="A439" s="93"/>
      <c r="B439" s="516"/>
      <c r="C439" s="224" t="s">
        <v>886</v>
      </c>
      <c r="D439" s="1122"/>
      <c r="E439" s="112" t="s">
        <v>887</v>
      </c>
      <c r="F439" s="1557"/>
      <c r="G439" s="1711"/>
      <c r="H439" s="1711"/>
      <c r="I439" s="1722"/>
      <c r="J439" s="1713"/>
      <c r="K439" s="1711"/>
      <c r="L439" s="1722"/>
      <c r="M439" s="1713"/>
      <c r="N439" s="355"/>
    </row>
    <row r="440" spans="1:14" s="94" customFormat="1" ht="15" thickBot="1">
      <c r="A440" s="93"/>
      <c r="B440" s="516"/>
      <c r="C440" s="39" t="s">
        <v>888</v>
      </c>
      <c r="D440" s="1123"/>
      <c r="E440" s="64" t="s">
        <v>889</v>
      </c>
      <c r="F440" s="1558"/>
      <c r="G440" s="1712"/>
      <c r="H440" s="1724"/>
      <c r="I440" s="1714"/>
      <c r="J440" s="1725"/>
      <c r="K440" s="1712"/>
      <c r="L440" s="1714"/>
      <c r="M440" s="1715"/>
      <c r="N440" s="355"/>
    </row>
    <row r="441" spans="1:14" s="94" customFormat="1" ht="15" thickBot="1">
      <c r="A441" s="93"/>
      <c r="B441" s="516"/>
      <c r="C441" s="225" t="s">
        <v>890</v>
      </c>
      <c r="D441" s="290" t="s">
        <v>891</v>
      </c>
      <c r="E441" s="239" t="s">
        <v>892</v>
      </c>
      <c r="F441" s="113" t="s">
        <v>109</v>
      </c>
      <c r="G441" s="559">
        <v>1.86</v>
      </c>
      <c r="H441" s="996">
        <v>7</v>
      </c>
      <c r="I441" s="114">
        <v>13.132</v>
      </c>
      <c r="J441" s="115">
        <v>42.405999999999999</v>
      </c>
      <c r="K441" s="116">
        <v>42</v>
      </c>
      <c r="L441" s="117">
        <v>551.54</v>
      </c>
      <c r="M441" s="118">
        <v>1781.05</v>
      </c>
      <c r="N441" s="355"/>
    </row>
    <row r="442" spans="1:14" s="94" customFormat="1" ht="15" thickBot="1">
      <c r="A442" s="93"/>
      <c r="B442" s="511"/>
      <c r="C442" s="239" t="s">
        <v>893</v>
      </c>
      <c r="D442" s="290" t="s">
        <v>894</v>
      </c>
      <c r="E442" s="239" t="s">
        <v>895</v>
      </c>
      <c r="F442" s="113" t="s">
        <v>109</v>
      </c>
      <c r="G442" s="559">
        <v>1.86</v>
      </c>
      <c r="H442" s="996">
        <v>11</v>
      </c>
      <c r="I442" s="114">
        <v>23.491099999999999</v>
      </c>
      <c r="J442" s="115">
        <v>66.033100000000005</v>
      </c>
      <c r="K442" s="116">
        <v>32</v>
      </c>
      <c r="L442" s="117">
        <v>751.72</v>
      </c>
      <c r="M442" s="118">
        <v>2113.06</v>
      </c>
      <c r="N442" s="355"/>
    </row>
    <row r="443" spans="1:14" s="94" customFormat="1" ht="15" thickBot="1">
      <c r="A443" s="93"/>
      <c r="B443" s="511"/>
      <c r="C443" s="292" t="s">
        <v>896</v>
      </c>
      <c r="D443" s="293" t="s">
        <v>278</v>
      </c>
      <c r="E443" s="292" t="s">
        <v>897</v>
      </c>
      <c r="F443" s="108" t="s">
        <v>109</v>
      </c>
      <c r="G443" s="558">
        <v>2.4</v>
      </c>
      <c r="H443" s="996">
        <v>4</v>
      </c>
      <c r="I443" s="114">
        <v>11.63</v>
      </c>
      <c r="J443" s="115">
        <v>43.14</v>
      </c>
      <c r="K443" s="120">
        <v>32</v>
      </c>
      <c r="L443" s="121">
        <v>372.16</v>
      </c>
      <c r="M443" s="122">
        <v>1380.48</v>
      </c>
      <c r="N443" s="355"/>
    </row>
    <row r="444" spans="1:14" s="94" customFormat="1" ht="15" thickBot="1">
      <c r="A444" s="93"/>
      <c r="B444" s="21"/>
      <c r="C444" s="237" t="s">
        <v>898</v>
      </c>
      <c r="D444" s="1121" t="s">
        <v>161</v>
      </c>
      <c r="E444" s="237" t="s">
        <v>899</v>
      </c>
      <c r="F444" s="1121" t="s">
        <v>109</v>
      </c>
      <c r="G444" s="1217">
        <v>2.2200000000000002</v>
      </c>
      <c r="H444" s="1161">
        <v>60</v>
      </c>
      <c r="I444" s="1213">
        <v>6.5</v>
      </c>
      <c r="J444" s="1541">
        <v>14.88</v>
      </c>
      <c r="K444" s="1194">
        <v>120</v>
      </c>
      <c r="L444" s="1513">
        <v>780</v>
      </c>
      <c r="M444" s="1196">
        <v>1785.6</v>
      </c>
      <c r="N444" s="355"/>
    </row>
    <row r="445" spans="1:14" s="94" customFormat="1">
      <c r="A445" s="93"/>
      <c r="B445" s="21"/>
      <c r="C445" s="294" t="s">
        <v>900</v>
      </c>
      <c r="D445" s="1122"/>
      <c r="E445" s="294" t="s">
        <v>901</v>
      </c>
      <c r="F445" s="1122"/>
      <c r="G445" s="1711"/>
      <c r="H445" s="1711"/>
      <c r="I445" s="1722"/>
      <c r="J445" s="1713"/>
      <c r="K445" s="1711"/>
      <c r="L445" s="1722"/>
      <c r="M445" s="1713"/>
      <c r="N445" s="355"/>
    </row>
    <row r="446" spans="1:14" s="94" customFormat="1">
      <c r="A446" s="93"/>
      <c r="B446" s="21"/>
      <c r="C446" s="295" t="s">
        <v>902</v>
      </c>
      <c r="D446" s="1122"/>
      <c r="E446" s="295" t="s">
        <v>903</v>
      </c>
      <c r="F446" s="1122"/>
      <c r="G446" s="1711"/>
      <c r="H446" s="1711"/>
      <c r="I446" s="1722"/>
      <c r="J446" s="1713"/>
      <c r="K446" s="1711"/>
      <c r="L446" s="1722"/>
      <c r="M446" s="1713"/>
      <c r="N446" s="355"/>
    </row>
    <row r="447" spans="1:14" s="94" customFormat="1" ht="15" thickBot="1">
      <c r="A447" s="93"/>
      <c r="B447" s="21"/>
      <c r="C447" s="296" t="s">
        <v>904</v>
      </c>
      <c r="D447" s="1123"/>
      <c r="E447" s="296" t="s">
        <v>905</v>
      </c>
      <c r="F447" s="1123"/>
      <c r="G447" s="1712"/>
      <c r="H447" s="1724"/>
      <c r="I447" s="1714"/>
      <c r="J447" s="1725"/>
      <c r="K447" s="1712"/>
      <c r="L447" s="1714"/>
      <c r="M447" s="1715"/>
      <c r="N447" s="355"/>
    </row>
    <row r="448" spans="1:14" s="94" customFormat="1" ht="15" thickBot="1">
      <c r="A448" s="93"/>
      <c r="B448" s="21"/>
      <c r="C448" s="237" t="s">
        <v>906</v>
      </c>
      <c r="D448" s="1121" t="s">
        <v>907</v>
      </c>
      <c r="E448" s="237" t="s">
        <v>908</v>
      </c>
      <c r="F448" s="1121" t="s">
        <v>109</v>
      </c>
      <c r="G448" s="1203">
        <v>1.38</v>
      </c>
      <c r="H448" s="1194">
        <v>80</v>
      </c>
      <c r="I448" s="1137">
        <v>10</v>
      </c>
      <c r="J448" s="1246">
        <v>24</v>
      </c>
      <c r="K448" s="1194">
        <v>72</v>
      </c>
      <c r="L448" s="1513">
        <v>720</v>
      </c>
      <c r="M448" s="1196">
        <v>1728</v>
      </c>
      <c r="N448" s="355"/>
    </row>
    <row r="449" spans="1:14" s="94" customFormat="1" ht="16.350000000000001" customHeight="1" thickBot="1">
      <c r="A449" s="93"/>
      <c r="B449" s="21"/>
      <c r="C449" s="295" t="s">
        <v>909</v>
      </c>
      <c r="D449" s="1122"/>
      <c r="E449" s="295" t="s">
        <v>910</v>
      </c>
      <c r="F449" s="1122"/>
      <c r="G449" s="1730"/>
      <c r="H449" s="1712"/>
      <c r="I449" s="1712"/>
      <c r="J449" s="1715"/>
      <c r="K449" s="1712"/>
      <c r="L449" s="1714"/>
      <c r="M449" s="1715"/>
      <c r="N449" s="355"/>
    </row>
    <row r="450" spans="1:14" s="94" customFormat="1" ht="15" thickBot="1">
      <c r="A450" s="93"/>
      <c r="B450" s="21"/>
      <c r="C450" s="295" t="s">
        <v>911</v>
      </c>
      <c r="D450" s="1122"/>
      <c r="E450" s="295" t="s">
        <v>908</v>
      </c>
      <c r="F450" s="1122"/>
      <c r="G450" s="1730"/>
      <c r="H450" s="1216">
        <v>88</v>
      </c>
      <c r="I450" s="1492">
        <v>11.26</v>
      </c>
      <c r="J450" s="1221">
        <v>22.12</v>
      </c>
      <c r="K450" s="1216">
        <v>76</v>
      </c>
      <c r="L450" s="1538">
        <v>855.9</v>
      </c>
      <c r="M450" s="1221">
        <v>1681.12</v>
      </c>
      <c r="N450" s="355"/>
    </row>
    <row r="451" spans="1:14" s="94" customFormat="1" ht="16.350000000000001" customHeight="1" thickBot="1">
      <c r="A451" s="93"/>
      <c r="B451" s="21"/>
      <c r="C451" s="297" t="s">
        <v>912</v>
      </c>
      <c r="D451" s="1122"/>
      <c r="E451" s="297" t="s">
        <v>910</v>
      </c>
      <c r="F451" s="1122"/>
      <c r="G451" s="1730"/>
      <c r="H451" s="1712"/>
      <c r="I451" s="1712"/>
      <c r="J451" s="1715"/>
      <c r="K451" s="1712"/>
      <c r="L451" s="1714"/>
      <c r="M451" s="1715"/>
      <c r="N451" s="355"/>
    </row>
    <row r="452" spans="1:14" s="94" customFormat="1">
      <c r="A452" s="93"/>
      <c r="B452" s="21"/>
      <c r="C452" s="298" t="s">
        <v>913</v>
      </c>
      <c r="D452" s="1122"/>
      <c r="E452" s="298" t="s">
        <v>914</v>
      </c>
      <c r="F452" s="1122"/>
      <c r="G452" s="1730"/>
      <c r="H452" s="1330">
        <v>80</v>
      </c>
      <c r="I452" s="1205">
        <v>10</v>
      </c>
      <c r="J452" s="1245">
        <v>24</v>
      </c>
      <c r="K452" s="1330">
        <v>72</v>
      </c>
      <c r="L452" s="1367">
        <v>720</v>
      </c>
      <c r="M452" s="1245">
        <v>1728</v>
      </c>
      <c r="N452" s="355"/>
    </row>
    <row r="453" spans="1:14" s="94" customFormat="1">
      <c r="A453" s="93"/>
      <c r="B453" s="21"/>
      <c r="C453" s="295" t="s">
        <v>915</v>
      </c>
      <c r="D453" s="1122"/>
      <c r="E453" s="295" t="s">
        <v>916</v>
      </c>
      <c r="F453" s="1122"/>
      <c r="G453" s="1730"/>
      <c r="H453" s="1724"/>
      <c r="I453" s="1724"/>
      <c r="J453" s="1725"/>
      <c r="K453" s="1724"/>
      <c r="L453" s="1678"/>
      <c r="M453" s="1725"/>
      <c r="N453" s="355"/>
    </row>
    <row r="454" spans="1:14" s="94" customFormat="1">
      <c r="A454" s="93"/>
      <c r="B454" s="21"/>
      <c r="C454" s="295" t="s">
        <v>917</v>
      </c>
      <c r="D454" s="1122"/>
      <c r="E454" s="295" t="s">
        <v>918</v>
      </c>
      <c r="F454" s="1122"/>
      <c r="G454" s="1730"/>
      <c r="H454" s="1445">
        <v>80</v>
      </c>
      <c r="I454" s="1566">
        <v>10</v>
      </c>
      <c r="J454" s="1486">
        <v>22.56</v>
      </c>
      <c r="K454" s="1445">
        <v>60</v>
      </c>
      <c r="L454" s="1338">
        <v>600</v>
      </c>
      <c r="M454" s="1486">
        <v>1353.6</v>
      </c>
      <c r="N454" s="355"/>
    </row>
    <row r="455" spans="1:14" s="94" customFormat="1">
      <c r="A455" s="93"/>
      <c r="B455" s="21"/>
      <c r="C455" s="295" t="s">
        <v>919</v>
      </c>
      <c r="D455" s="1122"/>
      <c r="E455" s="298" t="s">
        <v>920</v>
      </c>
      <c r="F455" s="1122"/>
      <c r="G455" s="1731"/>
      <c r="H455" s="1711"/>
      <c r="I455" s="1711"/>
      <c r="J455" s="1713"/>
      <c r="K455" s="1711"/>
      <c r="L455" s="1722"/>
      <c r="M455" s="1713"/>
      <c r="N455" s="355"/>
    </row>
    <row r="456" spans="1:14" s="94" customFormat="1">
      <c r="A456" s="93"/>
      <c r="B456" s="21"/>
      <c r="C456" s="295" t="s">
        <v>921</v>
      </c>
      <c r="D456" s="1122"/>
      <c r="E456" s="295" t="s">
        <v>922</v>
      </c>
      <c r="F456" s="1122"/>
      <c r="G456" s="1424">
        <v>2.34</v>
      </c>
      <c r="H456" s="1711"/>
      <c r="I456" s="1711"/>
      <c r="J456" s="1713"/>
      <c r="K456" s="1711"/>
      <c r="L456" s="1722"/>
      <c r="M456" s="1713"/>
      <c r="N456" s="355"/>
    </row>
    <row r="457" spans="1:14" s="94" customFormat="1">
      <c r="A457" s="93"/>
      <c r="B457" s="21"/>
      <c r="C457" s="294" t="s">
        <v>923</v>
      </c>
      <c r="D457" s="1122"/>
      <c r="E457" s="294" t="s">
        <v>924</v>
      </c>
      <c r="F457" s="1122"/>
      <c r="G457" s="1730"/>
      <c r="H457" s="1711"/>
      <c r="I457" s="1711"/>
      <c r="J457" s="1713"/>
      <c r="K457" s="1711"/>
      <c r="L457" s="1722"/>
      <c r="M457" s="1713"/>
      <c r="N457" s="355"/>
    </row>
    <row r="458" spans="1:14" s="94" customFormat="1">
      <c r="A458" s="93"/>
      <c r="B458" s="21"/>
      <c r="C458" s="295" t="s">
        <v>925</v>
      </c>
      <c r="D458" s="1122"/>
      <c r="E458" s="295" t="s">
        <v>926</v>
      </c>
      <c r="F458" s="1122"/>
      <c r="G458" s="1730"/>
      <c r="H458" s="1724"/>
      <c r="I458" s="1724"/>
      <c r="J458" s="1725"/>
      <c r="K458" s="1724"/>
      <c r="L458" s="1678"/>
      <c r="M458" s="1725"/>
      <c r="N458" s="355"/>
    </row>
    <row r="459" spans="1:14" s="94" customFormat="1">
      <c r="A459" s="93"/>
      <c r="B459" s="21"/>
      <c r="C459" s="294" t="s">
        <v>927</v>
      </c>
      <c r="D459" s="1122"/>
      <c r="E459" s="294" t="s">
        <v>928</v>
      </c>
      <c r="F459" s="1122"/>
      <c r="G459" s="1731"/>
      <c r="H459" s="374">
        <v>80</v>
      </c>
      <c r="I459" s="375">
        <v>10</v>
      </c>
      <c r="J459" s="376">
        <v>23.44</v>
      </c>
      <c r="K459" s="374">
        <v>45</v>
      </c>
      <c r="L459" s="375">
        <v>450</v>
      </c>
      <c r="M459" s="376">
        <v>1054.8</v>
      </c>
      <c r="N459" s="355"/>
    </row>
    <row r="460" spans="1:14" s="94" customFormat="1" ht="15" thickBot="1">
      <c r="A460" s="93"/>
      <c r="B460" s="21"/>
      <c r="C460" s="295" t="s">
        <v>929</v>
      </c>
      <c r="D460" s="1122"/>
      <c r="E460" s="295" t="s">
        <v>930</v>
      </c>
      <c r="F460" s="1122"/>
      <c r="G460" s="1424">
        <v>3</v>
      </c>
      <c r="H460" s="1342">
        <v>80</v>
      </c>
      <c r="I460" s="1429">
        <v>10</v>
      </c>
      <c r="J460" s="1210">
        <v>22.56</v>
      </c>
      <c r="K460" s="1342">
        <v>60</v>
      </c>
      <c r="L460" s="1389">
        <v>600</v>
      </c>
      <c r="M460" s="1210">
        <v>1353.6</v>
      </c>
      <c r="N460" s="355"/>
    </row>
    <row r="461" spans="1:14" s="94" customFormat="1">
      <c r="A461" s="93"/>
      <c r="B461" s="21"/>
      <c r="C461" s="295" t="s">
        <v>931</v>
      </c>
      <c r="D461" s="1122"/>
      <c r="E461" s="295" t="s">
        <v>932</v>
      </c>
      <c r="F461" s="1122"/>
      <c r="G461" s="1730"/>
      <c r="H461" s="1711"/>
      <c r="I461" s="1711"/>
      <c r="J461" s="1713"/>
      <c r="K461" s="1711"/>
      <c r="L461" s="1722"/>
      <c r="M461" s="1713"/>
      <c r="N461" s="355"/>
    </row>
    <row r="462" spans="1:14" s="94" customFormat="1">
      <c r="A462" s="93"/>
      <c r="B462" s="21"/>
      <c r="C462" s="295" t="s">
        <v>933</v>
      </c>
      <c r="D462" s="1122"/>
      <c r="E462" s="295" t="s">
        <v>934</v>
      </c>
      <c r="F462" s="1122"/>
      <c r="G462" s="1730"/>
      <c r="H462" s="1711"/>
      <c r="I462" s="1711"/>
      <c r="J462" s="1713"/>
      <c r="K462" s="1711"/>
      <c r="L462" s="1722"/>
      <c r="M462" s="1713"/>
      <c r="N462" s="355"/>
    </row>
    <row r="463" spans="1:14" s="94" customFormat="1">
      <c r="A463" s="93"/>
      <c r="B463" s="21"/>
      <c r="C463" s="295" t="s">
        <v>935</v>
      </c>
      <c r="D463" s="1122"/>
      <c r="E463" s="295" t="s">
        <v>936</v>
      </c>
      <c r="F463" s="1122"/>
      <c r="G463" s="1730"/>
      <c r="H463" s="1711"/>
      <c r="I463" s="1711"/>
      <c r="J463" s="1713"/>
      <c r="K463" s="1711"/>
      <c r="L463" s="1722"/>
      <c r="M463" s="1713"/>
      <c r="N463" s="355"/>
    </row>
    <row r="464" spans="1:14" s="94" customFormat="1">
      <c r="A464" s="93"/>
      <c r="B464" s="21"/>
      <c r="C464" s="295" t="s">
        <v>937</v>
      </c>
      <c r="D464" s="1122"/>
      <c r="E464" s="295" t="s">
        <v>938</v>
      </c>
      <c r="F464" s="1122"/>
      <c r="G464" s="1730"/>
      <c r="H464" s="1711"/>
      <c r="I464" s="1711"/>
      <c r="J464" s="1713"/>
      <c r="K464" s="1711"/>
      <c r="L464" s="1722"/>
      <c r="M464" s="1713"/>
      <c r="N464" s="355"/>
    </row>
    <row r="465" spans="1:19" s="94" customFormat="1">
      <c r="A465" s="93"/>
      <c r="B465" s="21"/>
      <c r="C465" s="295" t="s">
        <v>939</v>
      </c>
      <c r="D465" s="1122"/>
      <c r="E465" s="295" t="s">
        <v>940</v>
      </c>
      <c r="F465" s="1122"/>
      <c r="G465" s="1731"/>
      <c r="H465" s="1711"/>
      <c r="I465" s="1711"/>
      <c r="J465" s="1713"/>
      <c r="K465" s="1711"/>
      <c r="L465" s="1722"/>
      <c r="M465" s="1713"/>
      <c r="N465" s="355"/>
    </row>
    <row r="466" spans="1:19" s="94" customFormat="1">
      <c r="A466" s="93"/>
      <c r="B466" s="21"/>
      <c r="C466" s="295" t="s">
        <v>941</v>
      </c>
      <c r="D466" s="1122"/>
      <c r="E466" s="295" t="s">
        <v>942</v>
      </c>
      <c r="F466" s="1122"/>
      <c r="G466" s="1424">
        <v>4.2</v>
      </c>
      <c r="H466" s="1711"/>
      <c r="I466" s="1711"/>
      <c r="J466" s="1713"/>
      <c r="K466" s="1711"/>
      <c r="L466" s="1722"/>
      <c r="M466" s="1713"/>
      <c r="N466" s="355"/>
    </row>
    <row r="467" spans="1:19" s="94" customFormat="1">
      <c r="A467" s="93"/>
      <c r="B467" s="21"/>
      <c r="C467" s="294" t="s">
        <v>943</v>
      </c>
      <c r="D467" s="1122"/>
      <c r="E467" s="294" t="s">
        <v>944</v>
      </c>
      <c r="F467" s="1122"/>
      <c r="G467" s="1730"/>
      <c r="H467" s="1711"/>
      <c r="I467" s="1711"/>
      <c r="J467" s="1713"/>
      <c r="K467" s="1711"/>
      <c r="L467" s="1722"/>
      <c r="M467" s="1713"/>
      <c r="N467" s="355"/>
    </row>
    <row r="468" spans="1:19" s="94" customFormat="1">
      <c r="A468" s="93"/>
      <c r="B468" s="21"/>
      <c r="C468" s="294" t="s">
        <v>945</v>
      </c>
      <c r="D468" s="1122"/>
      <c r="E468" s="295" t="s">
        <v>946</v>
      </c>
      <c r="F468" s="1122"/>
      <c r="G468" s="1730"/>
      <c r="H468" s="1711"/>
      <c r="I468" s="1711"/>
      <c r="J468" s="1713"/>
      <c r="K468" s="1711"/>
      <c r="L468" s="1722"/>
      <c r="M468" s="1713"/>
      <c r="N468" s="355"/>
      <c r="P468" s="878"/>
      <c r="Q468" s="878"/>
      <c r="R468" s="878"/>
      <c r="S468" s="878"/>
    </row>
    <row r="469" spans="1:19" s="94" customFormat="1">
      <c r="A469" s="93"/>
      <c r="B469" s="21"/>
      <c r="C469" s="295" t="s">
        <v>947</v>
      </c>
      <c r="D469" s="1122"/>
      <c r="E469" s="295" t="s">
        <v>948</v>
      </c>
      <c r="F469" s="1122"/>
      <c r="G469" s="1731"/>
      <c r="H469" s="1711"/>
      <c r="I469" s="1711"/>
      <c r="J469" s="1713"/>
      <c r="K469" s="1711"/>
      <c r="L469" s="1722"/>
      <c r="M469" s="1713"/>
      <c r="N469" s="355"/>
    </row>
    <row r="470" spans="1:19" s="94" customFormat="1" ht="16.350000000000001" customHeight="1" thickBot="1">
      <c r="A470" s="93"/>
      <c r="B470" s="21"/>
      <c r="C470" s="297" t="s">
        <v>949</v>
      </c>
      <c r="D470" s="1123"/>
      <c r="E470" s="291" t="s">
        <v>950</v>
      </c>
      <c r="F470" s="1123"/>
      <c r="G470" s="560">
        <v>6.6</v>
      </c>
      <c r="H470" s="1712"/>
      <c r="I470" s="1712"/>
      <c r="J470" s="1715"/>
      <c r="K470" s="1712"/>
      <c r="L470" s="1714"/>
      <c r="M470" s="1715"/>
      <c r="N470" s="355"/>
    </row>
    <row r="471" spans="1:19" s="94" customFormat="1" ht="15" thickBot="1">
      <c r="A471" s="93"/>
      <c r="B471" s="21"/>
      <c r="C471" s="237" t="s">
        <v>951</v>
      </c>
      <c r="D471" s="1121" t="s">
        <v>178</v>
      </c>
      <c r="E471" s="237" t="s">
        <v>952</v>
      </c>
      <c r="F471" s="1121" t="s">
        <v>109</v>
      </c>
      <c r="G471" s="1453">
        <v>2.2200000000000002</v>
      </c>
      <c r="H471" s="1194">
        <v>50</v>
      </c>
      <c r="I471" s="1137">
        <v>12.6</v>
      </c>
      <c r="J471" s="1196">
        <v>30.6</v>
      </c>
      <c r="K471" s="1194">
        <v>99</v>
      </c>
      <c r="L471" s="1283">
        <v>1246.78</v>
      </c>
      <c r="M471" s="1141">
        <v>3029.4</v>
      </c>
      <c r="N471" s="355"/>
    </row>
    <row r="472" spans="1:19" s="94" customFormat="1">
      <c r="A472" s="93"/>
      <c r="B472" s="21"/>
      <c r="C472" s="295" t="s">
        <v>953</v>
      </c>
      <c r="D472" s="1122"/>
      <c r="E472" s="295" t="s">
        <v>954</v>
      </c>
      <c r="F472" s="1122"/>
      <c r="G472" s="1730"/>
      <c r="H472" s="1711"/>
      <c r="I472" s="1711"/>
      <c r="J472" s="1713"/>
      <c r="K472" s="1711"/>
      <c r="L472" s="1722"/>
      <c r="M472" s="1713"/>
      <c r="N472" s="355"/>
    </row>
    <row r="473" spans="1:19" s="94" customFormat="1">
      <c r="A473" s="93"/>
      <c r="B473" s="21"/>
      <c r="C473" s="295" t="s">
        <v>955</v>
      </c>
      <c r="D473" s="1122"/>
      <c r="E473" s="295" t="s">
        <v>956</v>
      </c>
      <c r="F473" s="1122"/>
      <c r="G473" s="1730"/>
      <c r="H473" s="1711"/>
      <c r="I473" s="1711"/>
      <c r="J473" s="1713"/>
      <c r="K473" s="1711"/>
      <c r="L473" s="1722"/>
      <c r="M473" s="1713"/>
      <c r="N473" s="355"/>
    </row>
    <row r="474" spans="1:19" s="94" customFormat="1" ht="15" thickBot="1">
      <c r="A474" s="93"/>
      <c r="B474" s="21"/>
      <c r="C474" s="295" t="s">
        <v>957</v>
      </c>
      <c r="D474" s="1122"/>
      <c r="E474" s="295" t="s">
        <v>958</v>
      </c>
      <c r="F474" s="1122"/>
      <c r="G474" s="1732"/>
      <c r="H474" s="1711"/>
      <c r="I474" s="1711"/>
      <c r="J474" s="1713"/>
      <c r="K474" s="1711"/>
      <c r="L474" s="1722"/>
      <c r="M474" s="1713"/>
      <c r="N474" s="355"/>
    </row>
    <row r="475" spans="1:19" s="94" customFormat="1" ht="15" thickBot="1">
      <c r="A475" s="93"/>
      <c r="B475" s="21"/>
      <c r="C475" s="295" t="s">
        <v>959</v>
      </c>
      <c r="D475" s="1122"/>
      <c r="E475" s="295" t="s">
        <v>960</v>
      </c>
      <c r="F475" s="1122"/>
      <c r="G475" s="1453">
        <v>3.6</v>
      </c>
      <c r="H475" s="1711"/>
      <c r="I475" s="1711"/>
      <c r="J475" s="1713"/>
      <c r="K475" s="1711"/>
      <c r="L475" s="1722"/>
      <c r="M475" s="1713"/>
      <c r="N475" s="355"/>
    </row>
    <row r="476" spans="1:19" s="94" customFormat="1">
      <c r="A476" s="93"/>
      <c r="B476" s="21"/>
      <c r="C476" s="295" t="s">
        <v>961</v>
      </c>
      <c r="D476" s="1122"/>
      <c r="E476" s="295" t="s">
        <v>962</v>
      </c>
      <c r="F476" s="1122"/>
      <c r="G476" s="1730"/>
      <c r="H476" s="1711"/>
      <c r="I476" s="1711"/>
      <c r="J476" s="1713"/>
      <c r="K476" s="1711"/>
      <c r="L476" s="1722"/>
      <c r="M476" s="1713"/>
      <c r="N476" s="355"/>
    </row>
    <row r="477" spans="1:19" s="94" customFormat="1" ht="15" thickBot="1">
      <c r="A477" s="93"/>
      <c r="B477" s="21"/>
      <c r="C477" s="297" t="s">
        <v>963</v>
      </c>
      <c r="D477" s="1123"/>
      <c r="E477" s="297" t="s">
        <v>964</v>
      </c>
      <c r="F477" s="1123"/>
      <c r="G477" s="1732"/>
      <c r="H477" s="1712"/>
      <c r="I477" s="1712"/>
      <c r="J477" s="1715"/>
      <c r="K477" s="1712"/>
      <c r="L477" s="1714"/>
      <c r="M477" s="1715"/>
      <c r="N477" s="355"/>
    </row>
    <row r="478" spans="1:19" s="93" customFormat="1">
      <c r="B478" s="21"/>
      <c r="C478" s="882" t="s">
        <v>247</v>
      </c>
      <c r="D478" s="103"/>
      <c r="E478" s="125"/>
      <c r="F478" s="103"/>
      <c r="G478" s="103"/>
      <c r="H478" s="103"/>
      <c r="I478" s="103"/>
      <c r="J478" s="103"/>
      <c r="K478" s="103"/>
      <c r="L478" s="103"/>
      <c r="M478" s="103"/>
      <c r="N478" s="103"/>
    </row>
    <row r="479" spans="1:19" s="93" customFormat="1" ht="15" thickBot="1">
      <c r="B479" s="21"/>
      <c r="C479" s="125"/>
      <c r="D479" s="103"/>
      <c r="E479" s="125"/>
      <c r="F479" s="103"/>
      <c r="G479" s="103"/>
      <c r="H479" s="103"/>
      <c r="I479" s="103"/>
      <c r="J479" s="103"/>
      <c r="K479" s="103"/>
      <c r="L479" s="103"/>
      <c r="M479" s="103"/>
      <c r="N479" s="103"/>
    </row>
    <row r="480" spans="1:19" s="94" customFormat="1" ht="31.5" customHeight="1" thickBot="1">
      <c r="A480" s="93"/>
      <c r="B480" s="21"/>
      <c r="C480" s="95" t="s">
        <v>965</v>
      </c>
      <c r="D480" s="232"/>
      <c r="E480" s="93"/>
      <c r="F480" s="21"/>
      <c r="G480" s="93"/>
      <c r="H480" s="1311" t="s">
        <v>101</v>
      </c>
      <c r="I480" s="1726"/>
      <c r="J480" s="1727"/>
      <c r="K480" s="1281" t="s">
        <v>102</v>
      </c>
      <c r="L480" s="1726"/>
      <c r="M480" s="1727"/>
      <c r="N480" s="96"/>
    </row>
    <row r="481" spans="1:14" s="94" customFormat="1" ht="15" thickBot="1">
      <c r="A481" s="93"/>
      <c r="B481" s="21"/>
      <c r="C481" s="98" t="s">
        <v>103</v>
      </c>
      <c r="D481" s="99" t="s">
        <v>104</v>
      </c>
      <c r="E481" s="98" t="s">
        <v>105</v>
      </c>
      <c r="F481" s="99" t="s">
        <v>106</v>
      </c>
      <c r="G481" s="99" t="s">
        <v>107</v>
      </c>
      <c r="H481" s="997" t="s">
        <v>108</v>
      </c>
      <c r="I481" s="135" t="s">
        <v>109</v>
      </c>
      <c r="J481" s="136" t="s">
        <v>110</v>
      </c>
      <c r="K481" s="137" t="s">
        <v>111</v>
      </c>
      <c r="L481" s="126" t="s">
        <v>109</v>
      </c>
      <c r="M481" s="127" t="s">
        <v>110</v>
      </c>
      <c r="N481" s="103"/>
    </row>
    <row r="482" spans="1:14" s="94" customFormat="1" ht="15" thickBot="1">
      <c r="A482" s="93"/>
      <c r="B482" s="21" t="s">
        <v>213</v>
      </c>
      <c r="C482" s="237" t="s">
        <v>966</v>
      </c>
      <c r="D482" s="1121" t="s">
        <v>178</v>
      </c>
      <c r="E482" s="237" t="s">
        <v>967</v>
      </c>
      <c r="F482" s="1121" t="s">
        <v>109</v>
      </c>
      <c r="G482" s="1453">
        <v>3.18</v>
      </c>
      <c r="H482" s="1194">
        <v>50</v>
      </c>
      <c r="I482" s="1137">
        <v>11.7895</v>
      </c>
      <c r="J482" s="1196">
        <v>30.1</v>
      </c>
      <c r="K482" s="1194">
        <v>72</v>
      </c>
      <c r="L482" s="1283">
        <v>848.84</v>
      </c>
      <c r="M482" s="1141">
        <v>2167.1999999999998</v>
      </c>
      <c r="N482" s="355"/>
    </row>
    <row r="483" spans="1:14" s="94" customFormat="1">
      <c r="A483" s="93"/>
      <c r="B483" s="21"/>
      <c r="C483" s="294" t="s">
        <v>968</v>
      </c>
      <c r="D483" s="1122"/>
      <c r="E483" s="295" t="s">
        <v>969</v>
      </c>
      <c r="F483" s="1122"/>
      <c r="G483" s="1730"/>
      <c r="H483" s="1711"/>
      <c r="I483" s="1711"/>
      <c r="J483" s="1713"/>
      <c r="K483" s="1711"/>
      <c r="L483" s="1722"/>
      <c r="M483" s="1713"/>
      <c r="N483" s="355"/>
    </row>
    <row r="484" spans="1:14" s="94" customFormat="1">
      <c r="A484" s="93"/>
      <c r="B484" s="21"/>
      <c r="C484" s="295" t="s">
        <v>970</v>
      </c>
      <c r="D484" s="1122"/>
      <c r="E484" s="295" t="s">
        <v>971</v>
      </c>
      <c r="F484" s="1122"/>
      <c r="G484" s="1730"/>
      <c r="H484" s="1711"/>
      <c r="I484" s="1711"/>
      <c r="J484" s="1713"/>
      <c r="K484" s="1711"/>
      <c r="L484" s="1722"/>
      <c r="M484" s="1713"/>
      <c r="N484" s="355"/>
    </row>
    <row r="485" spans="1:14" s="94" customFormat="1" ht="15" thickBot="1">
      <c r="A485" s="93"/>
      <c r="B485" s="21"/>
      <c r="C485" s="297" t="s">
        <v>972</v>
      </c>
      <c r="D485" s="1123"/>
      <c r="E485" s="297" t="s">
        <v>973</v>
      </c>
      <c r="F485" s="1123"/>
      <c r="G485" s="1732"/>
      <c r="H485" s="1712"/>
      <c r="I485" s="1712"/>
      <c r="J485" s="1715"/>
      <c r="K485" s="1712"/>
      <c r="L485" s="1714"/>
      <c r="M485" s="1715"/>
      <c r="N485" s="355"/>
    </row>
    <row r="486" spans="1:14" s="94" customFormat="1" ht="14.25" customHeight="1">
      <c r="A486" s="93"/>
      <c r="B486" s="21"/>
      <c r="C486" s="292" t="s">
        <v>974</v>
      </c>
      <c r="D486" s="1190" t="s">
        <v>975</v>
      </c>
      <c r="E486" s="292" t="s">
        <v>976</v>
      </c>
      <c r="F486" s="1121" t="s">
        <v>109</v>
      </c>
      <c r="G486" s="1203">
        <v>1.56</v>
      </c>
      <c r="H486" s="1115">
        <v>80</v>
      </c>
      <c r="I486" s="1327">
        <v>10</v>
      </c>
      <c r="J486" s="1156">
        <v>23.44</v>
      </c>
      <c r="K486" s="1115">
        <v>70</v>
      </c>
      <c r="L486" s="1235">
        <v>700</v>
      </c>
      <c r="M486" s="1294">
        <v>1640.8</v>
      </c>
      <c r="N486" s="355"/>
    </row>
    <row r="487" spans="1:14" s="94" customFormat="1">
      <c r="A487" s="93"/>
      <c r="B487" s="21"/>
      <c r="C487" s="296" t="s">
        <v>977</v>
      </c>
      <c r="D487" s="1191"/>
      <c r="E487" s="296" t="s">
        <v>978</v>
      </c>
      <c r="F487" s="1122"/>
      <c r="G487" s="1730"/>
      <c r="H487" s="1711"/>
      <c r="I487" s="1711"/>
      <c r="J487" s="1713"/>
      <c r="K487" s="1711"/>
      <c r="L487" s="1722"/>
      <c r="M487" s="1713"/>
      <c r="N487" s="355"/>
    </row>
    <row r="488" spans="1:14" s="94" customFormat="1">
      <c r="A488" s="93"/>
      <c r="B488" s="21"/>
      <c r="C488" s="296" t="s">
        <v>979</v>
      </c>
      <c r="D488" s="1191"/>
      <c r="E488" s="296" t="s">
        <v>980</v>
      </c>
      <c r="F488" s="1122"/>
      <c r="G488" s="1730"/>
      <c r="H488" s="1711"/>
      <c r="I488" s="1711"/>
      <c r="J488" s="1713"/>
      <c r="K488" s="1711"/>
      <c r="L488" s="1722"/>
      <c r="M488" s="1713"/>
      <c r="N488" s="355"/>
    </row>
    <row r="489" spans="1:14" s="94" customFormat="1">
      <c r="A489" s="93"/>
      <c r="B489" s="21"/>
      <c r="C489" s="296" t="s">
        <v>981</v>
      </c>
      <c r="D489" s="1191"/>
      <c r="E489" s="296" t="s">
        <v>982</v>
      </c>
      <c r="F489" s="1122"/>
      <c r="G489" s="1730"/>
      <c r="H489" s="1724"/>
      <c r="I489" s="1724"/>
      <c r="J489" s="1725"/>
      <c r="K489" s="1724"/>
      <c r="L489" s="1678"/>
      <c r="M489" s="1725"/>
      <c r="N489" s="355"/>
    </row>
    <row r="490" spans="1:14" s="94" customFormat="1">
      <c r="A490" s="93"/>
      <c r="B490" s="21"/>
      <c r="C490" s="296" t="s">
        <v>983</v>
      </c>
      <c r="D490" s="1191"/>
      <c r="E490" s="296" t="s">
        <v>984</v>
      </c>
      <c r="F490" s="1122"/>
      <c r="G490" s="1730"/>
      <c r="H490" s="1418">
        <v>80</v>
      </c>
      <c r="I490" s="1153">
        <v>10</v>
      </c>
      <c r="J490" s="1548">
        <v>24.32</v>
      </c>
      <c r="K490" s="1418">
        <v>60</v>
      </c>
      <c r="L490" s="1212">
        <v>600</v>
      </c>
      <c r="M490" s="1155">
        <v>1459.2</v>
      </c>
      <c r="N490" s="355"/>
    </row>
    <row r="491" spans="1:14" s="94" customFormat="1">
      <c r="A491" s="93"/>
      <c r="B491" s="21"/>
      <c r="C491" s="295" t="s">
        <v>985</v>
      </c>
      <c r="D491" s="1191"/>
      <c r="E491" s="296" t="s">
        <v>986</v>
      </c>
      <c r="F491" s="1122"/>
      <c r="G491" s="1731"/>
      <c r="H491" s="1711"/>
      <c r="I491" s="1711"/>
      <c r="J491" s="1713"/>
      <c r="K491" s="1711"/>
      <c r="L491" s="1722"/>
      <c r="M491" s="1713"/>
      <c r="N491" s="355"/>
    </row>
    <row r="492" spans="1:14" s="94" customFormat="1">
      <c r="A492" s="93"/>
      <c r="B492" s="21"/>
      <c r="C492" s="294" t="s">
        <v>987</v>
      </c>
      <c r="D492" s="1191"/>
      <c r="E492" s="295" t="s">
        <v>988</v>
      </c>
      <c r="F492" s="1122"/>
      <c r="G492" s="1424">
        <v>2.4</v>
      </c>
      <c r="H492" s="1711"/>
      <c r="I492" s="1711"/>
      <c r="J492" s="1713"/>
      <c r="K492" s="1711"/>
      <c r="L492" s="1722"/>
      <c r="M492" s="1713"/>
      <c r="N492" s="355"/>
    </row>
    <row r="493" spans="1:14" s="94" customFormat="1">
      <c r="A493" s="93"/>
      <c r="B493" s="21"/>
      <c r="C493" s="295" t="s">
        <v>989</v>
      </c>
      <c r="D493" s="1191"/>
      <c r="E493" s="296" t="s">
        <v>990</v>
      </c>
      <c r="F493" s="1122"/>
      <c r="G493" s="1730"/>
      <c r="H493" s="1711"/>
      <c r="I493" s="1711"/>
      <c r="J493" s="1713"/>
      <c r="K493" s="1711"/>
      <c r="L493" s="1722"/>
      <c r="M493" s="1713"/>
      <c r="N493" s="355"/>
    </row>
    <row r="494" spans="1:14" s="94" customFormat="1">
      <c r="A494" s="93"/>
      <c r="B494" s="21"/>
      <c r="C494" s="294" t="s">
        <v>991</v>
      </c>
      <c r="D494" s="1191"/>
      <c r="E494" s="296" t="s">
        <v>992</v>
      </c>
      <c r="F494" s="1122"/>
      <c r="G494" s="1731"/>
      <c r="H494" s="1711"/>
      <c r="I494" s="1711"/>
      <c r="J494" s="1713"/>
      <c r="K494" s="1711"/>
      <c r="L494" s="1722"/>
      <c r="M494" s="1713"/>
      <c r="N494" s="355"/>
    </row>
    <row r="495" spans="1:14" s="94" customFormat="1">
      <c r="A495" s="93"/>
      <c r="B495" s="21"/>
      <c r="C495" s="295" t="s">
        <v>993</v>
      </c>
      <c r="D495" s="1191"/>
      <c r="E495" s="296" t="s">
        <v>994</v>
      </c>
      <c r="F495" s="1122"/>
      <c r="G495" s="1424">
        <v>2.7</v>
      </c>
      <c r="H495" s="1711"/>
      <c r="I495" s="1711"/>
      <c r="J495" s="1713"/>
      <c r="K495" s="1711"/>
      <c r="L495" s="1722"/>
      <c r="M495" s="1713"/>
      <c r="N495" s="355"/>
    </row>
    <row r="496" spans="1:14" s="94" customFormat="1">
      <c r="A496" s="93"/>
      <c r="B496" s="21"/>
      <c r="C496" s="296" t="s">
        <v>995</v>
      </c>
      <c r="D496" s="1191"/>
      <c r="E496" s="296" t="s">
        <v>996</v>
      </c>
      <c r="F496" s="1122"/>
      <c r="G496" s="1731"/>
      <c r="H496" s="1724"/>
      <c r="I496" s="1724"/>
      <c r="J496" s="1725"/>
      <c r="K496" s="1724"/>
      <c r="L496" s="1678"/>
      <c r="M496" s="1725"/>
      <c r="N496" s="355"/>
    </row>
    <row r="497" spans="1:14" s="94" customFormat="1">
      <c r="A497" s="93"/>
      <c r="B497" s="21"/>
      <c r="C497" s="296" t="s">
        <v>997</v>
      </c>
      <c r="D497" s="1191"/>
      <c r="E497" s="296" t="s">
        <v>998</v>
      </c>
      <c r="F497" s="1122"/>
      <c r="G497" s="1424">
        <v>3.9</v>
      </c>
      <c r="H497" s="994">
        <v>80</v>
      </c>
      <c r="I497" s="123">
        <v>5</v>
      </c>
      <c r="J497" s="130">
        <v>12.24</v>
      </c>
      <c r="K497" s="131">
        <v>60</v>
      </c>
      <c r="L497" s="132">
        <v>600</v>
      </c>
      <c r="M497" s="133">
        <v>1468.8</v>
      </c>
      <c r="N497" s="355"/>
    </row>
    <row r="498" spans="1:14" s="94" customFormat="1" ht="15" thickBot="1">
      <c r="A498" s="93"/>
      <c r="B498" s="21"/>
      <c r="C498" s="295" t="s">
        <v>999</v>
      </c>
      <c r="D498" s="1191"/>
      <c r="E498" s="295" t="s">
        <v>1000</v>
      </c>
      <c r="F498" s="1122"/>
      <c r="G498" s="1730"/>
      <c r="H498" s="1230">
        <v>80</v>
      </c>
      <c r="I498" s="1433">
        <v>10</v>
      </c>
      <c r="J498" s="1563">
        <v>24.32</v>
      </c>
      <c r="K498" s="1230">
        <v>60</v>
      </c>
      <c r="L498" s="1146">
        <v>600</v>
      </c>
      <c r="M498" s="1370">
        <v>1459.2</v>
      </c>
      <c r="N498" s="355"/>
    </row>
    <row r="499" spans="1:14" s="94" customFormat="1">
      <c r="A499" s="93"/>
      <c r="B499" s="21"/>
      <c r="C499" s="296" t="s">
        <v>1001</v>
      </c>
      <c r="D499" s="1191"/>
      <c r="E499" s="296" t="s">
        <v>1002</v>
      </c>
      <c r="F499" s="1122"/>
      <c r="G499" s="1730"/>
      <c r="H499" s="1711"/>
      <c r="I499" s="1711"/>
      <c r="J499" s="1713"/>
      <c r="K499" s="1711"/>
      <c r="L499" s="1722"/>
      <c r="M499" s="1713"/>
      <c r="N499" s="355"/>
    </row>
    <row r="500" spans="1:14" s="94" customFormat="1">
      <c r="A500" s="93"/>
      <c r="B500" s="21"/>
      <c r="C500" s="296" t="s">
        <v>1003</v>
      </c>
      <c r="D500" s="1191"/>
      <c r="E500" s="295" t="s">
        <v>1004</v>
      </c>
      <c r="F500" s="1122"/>
      <c r="G500" s="1731"/>
      <c r="H500" s="1711"/>
      <c r="I500" s="1711"/>
      <c r="J500" s="1713"/>
      <c r="K500" s="1711"/>
      <c r="L500" s="1722"/>
      <c r="M500" s="1713"/>
      <c r="N500" s="355"/>
    </row>
    <row r="501" spans="1:14" s="94" customFormat="1" ht="15" thickBot="1">
      <c r="A501" s="93"/>
      <c r="B501" s="21"/>
      <c r="C501" s="297" t="s">
        <v>1005</v>
      </c>
      <c r="D501" s="1192"/>
      <c r="E501" s="297" t="s">
        <v>1006</v>
      </c>
      <c r="F501" s="1123"/>
      <c r="G501" s="560">
        <v>6.6</v>
      </c>
      <c r="H501" s="1712"/>
      <c r="I501" s="1712"/>
      <c r="J501" s="1715"/>
      <c r="K501" s="1712"/>
      <c r="L501" s="1714"/>
      <c r="M501" s="1715"/>
      <c r="N501" s="355"/>
    </row>
    <row r="502" spans="1:14" s="94" customFormat="1" ht="15" thickBot="1">
      <c r="A502" s="93"/>
      <c r="B502" s="511"/>
      <c r="C502" s="292" t="s">
        <v>1007</v>
      </c>
      <c r="D502" s="1121" t="s">
        <v>1008</v>
      </c>
      <c r="E502" s="237" t="s">
        <v>1009</v>
      </c>
      <c r="F502" s="1121" t="s">
        <v>109</v>
      </c>
      <c r="G502" s="1148">
        <v>1.8</v>
      </c>
      <c r="H502" s="1229">
        <v>38</v>
      </c>
      <c r="I502" s="1137">
        <v>11.2484</v>
      </c>
      <c r="J502" s="1196">
        <v>27.056000000000001</v>
      </c>
      <c r="K502" s="1194">
        <v>78</v>
      </c>
      <c r="L502" s="1204">
        <v>877.38</v>
      </c>
      <c r="M502" s="1196">
        <v>2110.37</v>
      </c>
      <c r="N502" s="355"/>
    </row>
    <row r="503" spans="1:14" s="94" customFormat="1">
      <c r="A503" s="93"/>
      <c r="B503" s="51"/>
      <c r="C503" s="295" t="s">
        <v>1010</v>
      </c>
      <c r="D503" s="1122"/>
      <c r="E503" s="295" t="s">
        <v>1011</v>
      </c>
      <c r="F503" s="1122"/>
      <c r="G503" s="1730"/>
      <c r="H503" s="1721"/>
      <c r="I503" s="1711"/>
      <c r="J503" s="1713"/>
      <c r="K503" s="1711"/>
      <c r="L503" s="1722"/>
      <c r="M503" s="1713"/>
      <c r="N503" s="355"/>
    </row>
    <row r="504" spans="1:14" s="94" customFormat="1">
      <c r="A504" s="93"/>
      <c r="B504" s="51"/>
      <c r="C504" s="295" t="s">
        <v>1012</v>
      </c>
      <c r="D504" s="1122"/>
      <c r="E504" s="295" t="s">
        <v>1013</v>
      </c>
      <c r="F504" s="1122"/>
      <c r="G504" s="1730"/>
      <c r="H504" s="1721"/>
      <c r="I504" s="1711"/>
      <c r="J504" s="1713"/>
      <c r="K504" s="1711"/>
      <c r="L504" s="1722"/>
      <c r="M504" s="1713"/>
      <c r="N504" s="355"/>
    </row>
    <row r="505" spans="1:14" s="94" customFormat="1">
      <c r="A505" s="93"/>
      <c r="B505" s="51"/>
      <c r="C505" s="294" t="s">
        <v>1014</v>
      </c>
      <c r="D505" s="1122"/>
      <c r="E505" s="295" t="s">
        <v>1015</v>
      </c>
      <c r="F505" s="1122"/>
      <c r="G505" s="1730"/>
      <c r="H505" s="1721"/>
      <c r="I505" s="1711"/>
      <c r="J505" s="1713"/>
      <c r="K505" s="1711"/>
      <c r="L505" s="1722"/>
      <c r="M505" s="1713"/>
      <c r="N505" s="355"/>
    </row>
    <row r="506" spans="1:14" s="94" customFormat="1">
      <c r="A506" s="93"/>
      <c r="B506" s="51"/>
      <c r="C506" s="295" t="s">
        <v>1016</v>
      </c>
      <c r="D506" s="1122"/>
      <c r="E506" s="294" t="s">
        <v>1017</v>
      </c>
      <c r="F506" s="1122"/>
      <c r="G506" s="1730"/>
      <c r="H506" s="1721"/>
      <c r="I506" s="1711"/>
      <c r="J506" s="1713"/>
      <c r="K506" s="1711"/>
      <c r="L506" s="1722"/>
      <c r="M506" s="1713"/>
      <c r="N506" s="355"/>
    </row>
    <row r="507" spans="1:14" s="94" customFormat="1">
      <c r="A507" s="93"/>
      <c r="B507" s="51"/>
      <c r="C507" s="295" t="s">
        <v>1018</v>
      </c>
      <c r="D507" s="1122"/>
      <c r="E507" s="295" t="s">
        <v>1019</v>
      </c>
      <c r="F507" s="1122"/>
      <c r="G507" s="1731"/>
      <c r="H507" s="1721"/>
      <c r="I507" s="1711"/>
      <c r="J507" s="1713"/>
      <c r="K507" s="1711"/>
      <c r="L507" s="1722"/>
      <c r="M507" s="1713"/>
      <c r="N507" s="355"/>
    </row>
    <row r="508" spans="1:14" s="94" customFormat="1">
      <c r="A508" s="93"/>
      <c r="B508" s="51"/>
      <c r="C508" s="295" t="s">
        <v>1020</v>
      </c>
      <c r="D508" s="1122"/>
      <c r="E508" s="294" t="s">
        <v>1021</v>
      </c>
      <c r="F508" s="1122"/>
      <c r="G508" s="1355">
        <v>2.4</v>
      </c>
      <c r="H508" s="1721"/>
      <c r="I508" s="1711"/>
      <c r="J508" s="1713"/>
      <c r="K508" s="1711"/>
      <c r="L508" s="1722"/>
      <c r="M508" s="1713"/>
      <c r="N508" s="355"/>
    </row>
    <row r="509" spans="1:14" s="94" customFormat="1">
      <c r="A509" s="93"/>
      <c r="B509" s="51"/>
      <c r="C509" s="295" t="s">
        <v>1022</v>
      </c>
      <c r="D509" s="1122"/>
      <c r="E509" s="295" t="s">
        <v>1023</v>
      </c>
      <c r="F509" s="1122"/>
      <c r="G509" s="1730"/>
      <c r="H509" s="1721"/>
      <c r="I509" s="1711"/>
      <c r="J509" s="1713"/>
      <c r="K509" s="1711"/>
      <c r="L509" s="1722"/>
      <c r="M509" s="1713"/>
      <c r="N509" s="355"/>
    </row>
    <row r="510" spans="1:14" s="94" customFormat="1">
      <c r="A510" s="93"/>
      <c r="B510" s="51"/>
      <c r="C510" s="295" t="s">
        <v>1024</v>
      </c>
      <c r="D510" s="1122"/>
      <c r="E510" s="294" t="s">
        <v>1025</v>
      </c>
      <c r="F510" s="1122"/>
      <c r="G510" s="1731"/>
      <c r="H510" s="1721"/>
      <c r="I510" s="1711"/>
      <c r="J510" s="1713"/>
      <c r="K510" s="1711"/>
      <c r="L510" s="1722"/>
      <c r="M510" s="1713"/>
      <c r="N510" s="355"/>
    </row>
    <row r="511" spans="1:14" s="94" customFormat="1" ht="15" thickBot="1">
      <c r="A511" s="93"/>
      <c r="B511" s="51"/>
      <c r="C511" s="291" t="s">
        <v>1026</v>
      </c>
      <c r="D511" s="1123"/>
      <c r="E511" s="297" t="s">
        <v>1027</v>
      </c>
      <c r="F511" s="1123"/>
      <c r="G511" s="561">
        <v>6.6</v>
      </c>
      <c r="H511" s="1733"/>
      <c r="I511" s="1712"/>
      <c r="J511" s="1715"/>
      <c r="K511" s="1712"/>
      <c r="L511" s="1714"/>
      <c r="M511" s="1715"/>
      <c r="N511" s="355"/>
    </row>
    <row r="512" spans="1:14" s="94" customFormat="1" ht="15" thickBot="1">
      <c r="A512" s="93"/>
      <c r="B512" s="51"/>
      <c r="C512" s="292" t="s">
        <v>1028</v>
      </c>
      <c r="D512" s="1121" t="s">
        <v>1029</v>
      </c>
      <c r="E512" s="292" t="s">
        <v>1030</v>
      </c>
      <c r="F512" s="1121" t="s">
        <v>109</v>
      </c>
      <c r="G512" s="1148">
        <v>1.5</v>
      </c>
      <c r="H512" s="1194">
        <v>32</v>
      </c>
      <c r="I512" s="1137">
        <v>15.327999999999999</v>
      </c>
      <c r="J512" s="1196">
        <v>41.12</v>
      </c>
      <c r="K512" s="1194">
        <v>60</v>
      </c>
      <c r="L512" s="1213">
        <v>919.68</v>
      </c>
      <c r="M512" s="1196">
        <v>2467.1999999999998</v>
      </c>
      <c r="N512" s="355"/>
    </row>
    <row r="513" spans="1:14" s="94" customFormat="1">
      <c r="A513" s="93"/>
      <c r="B513" s="51"/>
      <c r="C513" s="295" t="s">
        <v>1031</v>
      </c>
      <c r="D513" s="1122"/>
      <c r="E513" s="296" t="s">
        <v>1032</v>
      </c>
      <c r="F513" s="1122"/>
      <c r="G513" s="1730"/>
      <c r="H513" s="1711"/>
      <c r="I513" s="1711"/>
      <c r="J513" s="1713"/>
      <c r="K513" s="1711"/>
      <c r="L513" s="1722"/>
      <c r="M513" s="1713"/>
      <c r="N513" s="355"/>
    </row>
    <row r="514" spans="1:14" s="94" customFormat="1">
      <c r="A514" s="93"/>
      <c r="B514" s="51"/>
      <c r="C514" s="294" t="s">
        <v>1033</v>
      </c>
      <c r="D514" s="1122"/>
      <c r="E514" s="295" t="s">
        <v>1034</v>
      </c>
      <c r="F514" s="1122"/>
      <c r="G514" s="1730"/>
      <c r="H514" s="1711"/>
      <c r="I514" s="1711"/>
      <c r="J514" s="1713"/>
      <c r="K514" s="1711"/>
      <c r="L514" s="1722"/>
      <c r="M514" s="1713"/>
      <c r="N514" s="355"/>
    </row>
    <row r="515" spans="1:14" s="94" customFormat="1">
      <c r="A515" s="93"/>
      <c r="B515" s="51"/>
      <c r="C515" s="296" t="s">
        <v>1035</v>
      </c>
      <c r="D515" s="1122"/>
      <c r="E515" s="294" t="s">
        <v>1036</v>
      </c>
      <c r="F515" s="1122"/>
      <c r="G515" s="1730"/>
      <c r="H515" s="1711"/>
      <c r="I515" s="1711"/>
      <c r="J515" s="1713"/>
      <c r="K515" s="1711"/>
      <c r="L515" s="1722"/>
      <c r="M515" s="1713"/>
      <c r="N515" s="355"/>
    </row>
    <row r="516" spans="1:14" s="94" customFormat="1">
      <c r="A516" s="93"/>
      <c r="B516" s="51"/>
      <c r="C516" s="296" t="s">
        <v>1037</v>
      </c>
      <c r="D516" s="1122"/>
      <c r="E516" s="295" t="s">
        <v>1038</v>
      </c>
      <c r="F516" s="1122"/>
      <c r="G516" s="1730"/>
      <c r="H516" s="1711"/>
      <c r="I516" s="1711"/>
      <c r="J516" s="1713"/>
      <c r="K516" s="1711"/>
      <c r="L516" s="1722"/>
      <c r="M516" s="1713"/>
      <c r="N516" s="355"/>
    </row>
    <row r="517" spans="1:14" s="94" customFormat="1">
      <c r="A517" s="93"/>
      <c r="B517" s="51"/>
      <c r="C517" s="296" t="s">
        <v>1039</v>
      </c>
      <c r="D517" s="1122"/>
      <c r="E517" s="295" t="s">
        <v>1040</v>
      </c>
      <c r="F517" s="1122"/>
      <c r="G517" s="1731"/>
      <c r="H517" s="1711"/>
      <c r="I517" s="1711"/>
      <c r="J517" s="1713"/>
      <c r="K517" s="1711"/>
      <c r="L517" s="1722"/>
      <c r="M517" s="1713"/>
      <c r="N517" s="355"/>
    </row>
    <row r="518" spans="1:14" s="94" customFormat="1">
      <c r="A518" s="93"/>
      <c r="B518" s="51"/>
      <c r="C518" s="296" t="s">
        <v>1041</v>
      </c>
      <c r="D518" s="1122"/>
      <c r="E518" s="294" t="s">
        <v>1042</v>
      </c>
      <c r="F518" s="1122"/>
      <c r="G518" s="1355">
        <v>2.7</v>
      </c>
      <c r="H518" s="1711"/>
      <c r="I518" s="1711"/>
      <c r="J518" s="1713"/>
      <c r="K518" s="1711"/>
      <c r="L518" s="1722"/>
      <c r="M518" s="1713"/>
      <c r="N518" s="355"/>
    </row>
    <row r="519" spans="1:14" s="94" customFormat="1">
      <c r="A519" s="93"/>
      <c r="B519" s="51"/>
      <c r="C519" s="295" t="s">
        <v>1043</v>
      </c>
      <c r="D519" s="1122"/>
      <c r="E519" s="296" t="s">
        <v>1044</v>
      </c>
      <c r="F519" s="1122"/>
      <c r="G519" s="1731"/>
      <c r="H519" s="1711"/>
      <c r="I519" s="1711"/>
      <c r="J519" s="1713"/>
      <c r="K519" s="1711"/>
      <c r="L519" s="1722"/>
      <c r="M519" s="1713"/>
      <c r="N519" s="355"/>
    </row>
    <row r="520" spans="1:14" ht="15" thickBot="1">
      <c r="B520" s="51"/>
      <c r="C520" s="294" t="s">
        <v>1045</v>
      </c>
      <c r="D520" s="1122"/>
      <c r="E520" s="295" t="s">
        <v>1046</v>
      </c>
      <c r="F520" s="1122"/>
      <c r="G520" s="1301">
        <v>2.7</v>
      </c>
      <c r="H520" s="1711"/>
      <c r="I520" s="1711"/>
      <c r="J520" s="1713"/>
      <c r="K520" s="1711"/>
      <c r="L520" s="1722"/>
      <c r="M520" s="1713"/>
      <c r="N520" s="355"/>
    </row>
    <row r="521" spans="1:14" s="94" customFormat="1">
      <c r="A521" s="93"/>
      <c r="B521" s="51"/>
      <c r="C521" s="295" t="s">
        <v>1047</v>
      </c>
      <c r="D521" s="1122"/>
      <c r="E521" s="295" t="s">
        <v>1048</v>
      </c>
      <c r="F521" s="1122"/>
      <c r="G521" s="1730"/>
      <c r="H521" s="1711"/>
      <c r="I521" s="1711"/>
      <c r="J521" s="1713"/>
      <c r="K521" s="1711"/>
      <c r="L521" s="1722"/>
      <c r="M521" s="1713"/>
      <c r="N521" s="355"/>
    </row>
    <row r="522" spans="1:14" s="94" customFormat="1" ht="15" thickBot="1">
      <c r="A522" s="93"/>
      <c r="B522" s="51"/>
      <c r="C522" s="291" t="s">
        <v>1049</v>
      </c>
      <c r="D522" s="1123"/>
      <c r="E522" s="297" t="s">
        <v>1050</v>
      </c>
      <c r="F522" s="1123"/>
      <c r="G522" s="1732"/>
      <c r="H522" s="1712"/>
      <c r="I522" s="1712"/>
      <c r="J522" s="1715"/>
      <c r="K522" s="1712"/>
      <c r="L522" s="1714"/>
      <c r="M522" s="1715"/>
      <c r="N522" s="355"/>
    </row>
    <row r="523" spans="1:14" s="94" customFormat="1" ht="15" thickBot="1">
      <c r="A523" s="93"/>
      <c r="B523" s="51"/>
      <c r="C523" s="882"/>
      <c r="D523" s="106"/>
      <c r="E523" s="299"/>
      <c r="F523" s="106"/>
      <c r="G523" s="562"/>
      <c r="H523" s="106"/>
      <c r="I523" s="91"/>
      <c r="J523" s="91"/>
      <c r="K523" s="106"/>
      <c r="L523" s="91"/>
      <c r="M523" s="91"/>
      <c r="N523" s="355"/>
    </row>
    <row r="524" spans="1:14" s="94" customFormat="1" ht="31.5" customHeight="1" thickBot="1">
      <c r="A524" s="93"/>
      <c r="B524" s="51"/>
      <c r="C524" s="95" t="s">
        <v>965</v>
      </c>
      <c r="D524" s="232"/>
      <c r="E524" s="93"/>
      <c r="F524" s="21"/>
      <c r="G524" s="93"/>
      <c r="H524" s="1311" t="s">
        <v>101</v>
      </c>
      <c r="I524" s="1726"/>
      <c r="J524" s="1727"/>
      <c r="K524" s="1311" t="s">
        <v>102</v>
      </c>
      <c r="L524" s="1726"/>
      <c r="M524" s="1727"/>
      <c r="N524" s="96"/>
    </row>
    <row r="525" spans="1:14" s="94" customFormat="1" ht="15" thickBot="1">
      <c r="A525" s="93"/>
      <c r="B525" s="51"/>
      <c r="C525" s="98" t="s">
        <v>103</v>
      </c>
      <c r="D525" s="99" t="s">
        <v>104</v>
      </c>
      <c r="E525" s="98" t="s">
        <v>105</v>
      </c>
      <c r="F525" s="99" t="s">
        <v>106</v>
      </c>
      <c r="G525" s="99" t="s">
        <v>107</v>
      </c>
      <c r="H525" s="997" t="s">
        <v>108</v>
      </c>
      <c r="I525" s="135" t="s">
        <v>109</v>
      </c>
      <c r="J525" s="136" t="s">
        <v>110</v>
      </c>
      <c r="K525" s="137" t="s">
        <v>111</v>
      </c>
      <c r="L525" s="135" t="s">
        <v>109</v>
      </c>
      <c r="M525" s="136" t="s">
        <v>110</v>
      </c>
      <c r="N525" s="103"/>
    </row>
    <row r="526" spans="1:14" s="94" customFormat="1" ht="15" thickBot="1">
      <c r="A526" s="93"/>
      <c r="B526" s="21" t="s">
        <v>213</v>
      </c>
      <c r="C526" s="294" t="s">
        <v>1051</v>
      </c>
      <c r="D526" s="1121" t="s">
        <v>531</v>
      </c>
      <c r="E526" s="298" t="s">
        <v>1052</v>
      </c>
      <c r="F526" s="1122" t="s">
        <v>109</v>
      </c>
      <c r="G526" s="1148">
        <v>1.98</v>
      </c>
      <c r="H526" s="1194">
        <v>16</v>
      </c>
      <c r="I526" s="1137">
        <v>12</v>
      </c>
      <c r="J526" s="1196">
        <v>32.576000000000001</v>
      </c>
      <c r="K526" s="1194">
        <v>96</v>
      </c>
      <c r="L526" s="1213">
        <v>1152</v>
      </c>
      <c r="M526" s="1196">
        <v>3127.3</v>
      </c>
      <c r="N526" s="355"/>
    </row>
    <row r="527" spans="1:14" s="94" customFormat="1">
      <c r="A527" s="93"/>
      <c r="B527" s="51"/>
      <c r="C527" s="295" t="s">
        <v>1053</v>
      </c>
      <c r="D527" s="1122"/>
      <c r="E527" s="295" t="s">
        <v>1054</v>
      </c>
      <c r="F527" s="1122"/>
      <c r="G527" s="1730"/>
      <c r="H527" s="1711"/>
      <c r="I527" s="1711"/>
      <c r="J527" s="1713"/>
      <c r="K527" s="1711"/>
      <c r="L527" s="1722"/>
      <c r="M527" s="1713"/>
      <c r="N527" s="355"/>
    </row>
    <row r="528" spans="1:14" s="94" customFormat="1">
      <c r="A528" s="93"/>
      <c r="B528" s="51"/>
      <c r="C528" s="294" t="s">
        <v>1055</v>
      </c>
      <c r="D528" s="1122"/>
      <c r="E528" s="295" t="s">
        <v>1056</v>
      </c>
      <c r="F528" s="1122"/>
      <c r="G528" s="1730"/>
      <c r="H528" s="1711"/>
      <c r="I528" s="1711"/>
      <c r="J528" s="1713"/>
      <c r="K528" s="1711"/>
      <c r="L528" s="1722"/>
      <c r="M528" s="1713"/>
      <c r="N528" s="355"/>
    </row>
    <row r="529" spans="1:14" s="94" customFormat="1">
      <c r="A529" s="93"/>
      <c r="B529" s="51"/>
      <c r="C529" s="296" t="s">
        <v>1057</v>
      </c>
      <c r="D529" s="1122"/>
      <c r="E529" s="295" t="s">
        <v>1058</v>
      </c>
      <c r="F529" s="1122"/>
      <c r="G529" s="1731"/>
      <c r="H529" s="1711"/>
      <c r="I529" s="1711"/>
      <c r="J529" s="1713"/>
      <c r="K529" s="1711"/>
      <c r="L529" s="1722"/>
      <c r="M529" s="1713"/>
      <c r="N529" s="355"/>
    </row>
    <row r="530" spans="1:14" s="94" customFormat="1" ht="15" thickBot="1">
      <c r="A530" s="93"/>
      <c r="B530" s="51"/>
      <c r="C530" s="297" t="s">
        <v>1059</v>
      </c>
      <c r="D530" s="1123"/>
      <c r="E530" s="294" t="s">
        <v>1060</v>
      </c>
      <c r="F530" s="1123"/>
      <c r="G530" s="563">
        <v>2.7</v>
      </c>
      <c r="H530" s="1712"/>
      <c r="I530" s="1712"/>
      <c r="J530" s="1715"/>
      <c r="K530" s="1712"/>
      <c r="L530" s="1714"/>
      <c r="M530" s="1715"/>
      <c r="N530" s="355"/>
    </row>
    <row r="531" spans="1:14" s="94" customFormat="1">
      <c r="A531" s="93"/>
      <c r="B531" s="51"/>
      <c r="C531" s="292" t="s">
        <v>1061</v>
      </c>
      <c r="D531" s="1121" t="s">
        <v>1062</v>
      </c>
      <c r="E531" s="237" t="s">
        <v>1063</v>
      </c>
      <c r="F531" s="1121" t="s">
        <v>109</v>
      </c>
      <c r="G531" s="1148">
        <v>1.56</v>
      </c>
      <c r="H531" s="1115">
        <v>50</v>
      </c>
      <c r="I531" s="1327">
        <v>12.6</v>
      </c>
      <c r="J531" s="1294">
        <v>30</v>
      </c>
      <c r="K531" s="1115">
        <v>48</v>
      </c>
      <c r="L531" s="1235">
        <v>604.79999999999995</v>
      </c>
      <c r="M531" s="1294">
        <v>1440</v>
      </c>
      <c r="N531" s="355"/>
    </row>
    <row r="532" spans="1:14" s="94" customFormat="1">
      <c r="A532" s="93"/>
      <c r="B532" s="51"/>
      <c r="C532" s="295" t="s">
        <v>1064</v>
      </c>
      <c r="D532" s="1122"/>
      <c r="E532" s="295" t="s">
        <v>1065</v>
      </c>
      <c r="F532" s="1122"/>
      <c r="G532" s="1730"/>
      <c r="H532" s="1711"/>
      <c r="I532" s="1711"/>
      <c r="J532" s="1713"/>
      <c r="K532" s="1711"/>
      <c r="L532" s="1722"/>
      <c r="M532" s="1713"/>
      <c r="N532" s="355"/>
    </row>
    <row r="533" spans="1:14" s="94" customFormat="1">
      <c r="A533" s="93"/>
      <c r="B533" s="51"/>
      <c r="C533" s="295" t="s">
        <v>1066</v>
      </c>
      <c r="D533" s="1122"/>
      <c r="E533" s="294" t="s">
        <v>1067</v>
      </c>
      <c r="F533" s="1122"/>
      <c r="G533" s="1730"/>
      <c r="H533" s="1711"/>
      <c r="I533" s="1711"/>
      <c r="J533" s="1713"/>
      <c r="K533" s="1711"/>
      <c r="L533" s="1722"/>
      <c r="M533" s="1713"/>
      <c r="N533" s="355"/>
    </row>
    <row r="534" spans="1:14" s="94" customFormat="1">
      <c r="A534" s="93"/>
      <c r="B534" s="51"/>
      <c r="C534" s="294" t="s">
        <v>1068</v>
      </c>
      <c r="D534" s="1122"/>
      <c r="E534" s="296" t="s">
        <v>1069</v>
      </c>
      <c r="F534" s="1122"/>
      <c r="G534" s="1730"/>
      <c r="H534" s="1711"/>
      <c r="I534" s="1711"/>
      <c r="J534" s="1713"/>
      <c r="K534" s="1711"/>
      <c r="L534" s="1722"/>
      <c r="M534" s="1713"/>
      <c r="N534" s="355"/>
    </row>
    <row r="535" spans="1:14" s="94" customFormat="1">
      <c r="A535" s="93"/>
      <c r="B535" s="51"/>
      <c r="C535" s="295" t="s">
        <v>1070</v>
      </c>
      <c r="D535" s="1122"/>
      <c r="E535" s="296" t="s">
        <v>1071</v>
      </c>
      <c r="F535" s="1122"/>
      <c r="G535" s="1730"/>
      <c r="H535" s="1711"/>
      <c r="I535" s="1711"/>
      <c r="J535" s="1713"/>
      <c r="K535" s="1711"/>
      <c r="L535" s="1722"/>
      <c r="M535" s="1713"/>
      <c r="N535" s="355"/>
    </row>
    <row r="536" spans="1:14" s="94" customFormat="1">
      <c r="A536" s="93"/>
      <c r="B536" s="51"/>
      <c r="C536" s="298" t="s">
        <v>1072</v>
      </c>
      <c r="D536" s="1122"/>
      <c r="E536" s="296" t="s">
        <v>1073</v>
      </c>
      <c r="F536" s="1122"/>
      <c r="G536" s="1731"/>
      <c r="H536" s="1711"/>
      <c r="I536" s="1711"/>
      <c r="J536" s="1713"/>
      <c r="K536" s="1711"/>
      <c r="L536" s="1722"/>
      <c r="M536" s="1713"/>
      <c r="N536" s="355"/>
    </row>
    <row r="537" spans="1:14" s="94" customFormat="1">
      <c r="A537" s="93"/>
      <c r="B537" s="51"/>
      <c r="C537" s="294" t="s">
        <v>1074</v>
      </c>
      <c r="D537" s="1122"/>
      <c r="E537" s="296" t="s">
        <v>1075</v>
      </c>
      <c r="F537" s="1122"/>
      <c r="G537" s="1355">
        <v>2.4</v>
      </c>
      <c r="H537" s="1711"/>
      <c r="I537" s="1711"/>
      <c r="J537" s="1713"/>
      <c r="K537" s="1711"/>
      <c r="L537" s="1722"/>
      <c r="M537" s="1713"/>
      <c r="N537" s="355"/>
    </row>
    <row r="538" spans="1:14" s="94" customFormat="1">
      <c r="A538" s="93"/>
      <c r="B538" s="51"/>
      <c r="C538" s="295" t="s">
        <v>1076</v>
      </c>
      <c r="D538" s="1122"/>
      <c r="E538" s="296" t="s">
        <v>1077</v>
      </c>
      <c r="F538" s="1122"/>
      <c r="G538" s="1730"/>
      <c r="H538" s="1711"/>
      <c r="I538" s="1711"/>
      <c r="J538" s="1713"/>
      <c r="K538" s="1711"/>
      <c r="L538" s="1722"/>
      <c r="M538" s="1713"/>
      <c r="N538" s="355"/>
    </row>
    <row r="539" spans="1:14" s="94" customFormat="1">
      <c r="A539" s="93"/>
      <c r="B539" s="51"/>
      <c r="C539" s="295" t="s">
        <v>1078</v>
      </c>
      <c r="D539" s="1122"/>
      <c r="E539" s="295" t="s">
        <v>1079</v>
      </c>
      <c r="F539" s="1122"/>
      <c r="G539" s="1731"/>
      <c r="H539" s="1724"/>
      <c r="I539" s="1724"/>
      <c r="J539" s="1725"/>
      <c r="K539" s="1724"/>
      <c r="L539" s="1678"/>
      <c r="M539" s="1725"/>
      <c r="N539" s="355"/>
    </row>
    <row r="540" spans="1:14" s="94" customFormat="1" ht="15.95" customHeight="1" thickBot="1">
      <c r="A540" s="93"/>
      <c r="B540" s="51"/>
      <c r="C540" s="297" t="s">
        <v>1080</v>
      </c>
      <c r="D540" s="1123"/>
      <c r="E540" s="291" t="s">
        <v>1081</v>
      </c>
      <c r="F540" s="1123"/>
      <c r="G540" s="564">
        <v>6.6</v>
      </c>
      <c r="H540" s="418">
        <v>50</v>
      </c>
      <c r="I540" s="419">
        <v>12.6</v>
      </c>
      <c r="J540" s="879">
        <v>30</v>
      </c>
      <c r="K540" s="418">
        <v>48</v>
      </c>
      <c r="L540" s="419">
        <v>604.79999999999995</v>
      </c>
      <c r="M540" s="879">
        <v>1440</v>
      </c>
      <c r="N540" s="355"/>
    </row>
    <row r="541" spans="1:14" s="94" customFormat="1" ht="15" customHeight="1" thickBot="1">
      <c r="A541" s="93"/>
      <c r="B541" s="51"/>
      <c r="C541" s="882" t="s">
        <v>247</v>
      </c>
      <c r="D541" s="243"/>
      <c r="E541" s="242"/>
      <c r="F541" s="243"/>
      <c r="G541" s="243"/>
      <c r="H541" s="243"/>
      <c r="I541" s="328"/>
      <c r="J541" s="328"/>
      <c r="K541" s="243"/>
      <c r="L541" s="328"/>
      <c r="M541" s="328"/>
      <c r="N541" s="328"/>
    </row>
    <row r="542" spans="1:14" s="94" customFormat="1" ht="32.1" customHeight="1" thickBot="1">
      <c r="A542" s="93"/>
      <c r="B542" s="21"/>
      <c r="C542" s="95" t="s">
        <v>1082</v>
      </c>
      <c r="D542" s="232"/>
      <c r="E542" s="93"/>
      <c r="F542" s="21"/>
      <c r="G542" s="93"/>
      <c r="H542" s="1311" t="s">
        <v>101</v>
      </c>
      <c r="I542" s="1726"/>
      <c r="J542" s="1727"/>
      <c r="K542" s="1311" t="s">
        <v>102</v>
      </c>
      <c r="L542" s="1726"/>
      <c r="M542" s="1727"/>
      <c r="N542" s="96"/>
    </row>
    <row r="543" spans="1:14" s="94" customFormat="1" ht="15" customHeight="1" thickBot="1">
      <c r="A543" s="93"/>
      <c r="B543" s="21"/>
      <c r="C543" s="98" t="s">
        <v>103</v>
      </c>
      <c r="D543" s="99" t="s">
        <v>104</v>
      </c>
      <c r="E543" s="98" t="s">
        <v>105</v>
      </c>
      <c r="F543" s="99" t="s">
        <v>106</v>
      </c>
      <c r="G543" s="99" t="s">
        <v>107</v>
      </c>
      <c r="H543" s="997" t="s">
        <v>108</v>
      </c>
      <c r="I543" s="135" t="s">
        <v>109</v>
      </c>
      <c r="J543" s="136" t="s">
        <v>110</v>
      </c>
      <c r="K543" s="137" t="s">
        <v>111</v>
      </c>
      <c r="L543" s="135" t="s">
        <v>109</v>
      </c>
      <c r="M543" s="136" t="s">
        <v>110</v>
      </c>
      <c r="N543" s="103"/>
    </row>
    <row r="544" spans="1:14" s="94" customFormat="1" ht="15" thickBot="1">
      <c r="A544" s="93"/>
      <c r="B544" s="21" t="s">
        <v>326</v>
      </c>
      <c r="C544" s="65" t="s">
        <v>1083</v>
      </c>
      <c r="D544" s="1121" t="s">
        <v>1084</v>
      </c>
      <c r="E544" s="138" t="s">
        <v>1085</v>
      </c>
      <c r="F544" s="1121" t="s">
        <v>108</v>
      </c>
      <c r="G544" s="1177">
        <v>2.2799999999999998</v>
      </c>
      <c r="H544" s="1320">
        <v>72</v>
      </c>
      <c r="I544" s="1137">
        <v>2.6349999999999998</v>
      </c>
      <c r="J544" s="1138">
        <v>5.3280000000000003</v>
      </c>
      <c r="K544" s="1331">
        <v>100</v>
      </c>
      <c r="L544" s="1497">
        <v>263.5</v>
      </c>
      <c r="M544" s="1138">
        <v>532.79999999999995</v>
      </c>
      <c r="N544" s="355"/>
    </row>
    <row r="545" spans="1:14" s="94" customFormat="1" ht="15" thickBot="1">
      <c r="A545" s="93"/>
      <c r="B545" s="21"/>
      <c r="C545" s="139" t="s">
        <v>1086</v>
      </c>
      <c r="D545" s="1123"/>
      <c r="E545" s="509" t="s">
        <v>1087</v>
      </c>
      <c r="F545" s="1122"/>
      <c r="G545" s="1732"/>
      <c r="H545" s="1721"/>
      <c r="I545" s="1712"/>
      <c r="J545" s="1713"/>
      <c r="K545" s="1711"/>
      <c r="L545" s="1722"/>
      <c r="M545" s="1713"/>
      <c r="N545" s="355"/>
    </row>
    <row r="546" spans="1:14" s="94" customFormat="1" ht="15" thickBot="1">
      <c r="A546" s="93"/>
      <c r="B546" s="21"/>
      <c r="C546" s="237" t="s">
        <v>1088</v>
      </c>
      <c r="D546" s="1190" t="s">
        <v>1089</v>
      </c>
      <c r="E546" s="237" t="s">
        <v>1090</v>
      </c>
      <c r="F546" s="1121" t="s">
        <v>108</v>
      </c>
      <c r="G546" s="1177">
        <v>1.1399999999999999</v>
      </c>
      <c r="H546" s="1229">
        <v>18</v>
      </c>
      <c r="I546" s="1137">
        <v>0.5</v>
      </c>
      <c r="J546" s="1196">
        <v>1.1519999999999999</v>
      </c>
      <c r="K546" s="1194">
        <v>1740</v>
      </c>
      <c r="L546" s="1213">
        <v>870</v>
      </c>
      <c r="M546" s="1196">
        <v>2004.48</v>
      </c>
      <c r="N546" s="355"/>
    </row>
    <row r="547" spans="1:14" s="94" customFormat="1">
      <c r="A547" s="93"/>
      <c r="B547" s="21"/>
      <c r="C547" s="295" t="s">
        <v>1091</v>
      </c>
      <c r="D547" s="1191"/>
      <c r="E547" s="298" t="s">
        <v>1092</v>
      </c>
      <c r="F547" s="1122"/>
      <c r="G547" s="1730"/>
      <c r="H547" s="1721"/>
      <c r="I547" s="1711"/>
      <c r="J547" s="1713"/>
      <c r="K547" s="1711"/>
      <c r="L547" s="1722"/>
      <c r="M547" s="1713"/>
      <c r="N547" s="355"/>
    </row>
    <row r="548" spans="1:14" s="94" customFormat="1">
      <c r="A548" s="93"/>
      <c r="B548" s="21"/>
      <c r="C548" s="295" t="s">
        <v>1093</v>
      </c>
      <c r="D548" s="1191"/>
      <c r="E548" s="294" t="s">
        <v>1094</v>
      </c>
      <c r="F548" s="1122"/>
      <c r="G548" s="1730"/>
      <c r="H548" s="1721"/>
      <c r="I548" s="1711"/>
      <c r="J548" s="1713"/>
      <c r="K548" s="1711"/>
      <c r="L548" s="1722"/>
      <c r="M548" s="1713"/>
      <c r="N548" s="355"/>
    </row>
    <row r="549" spans="1:14" s="94" customFormat="1">
      <c r="A549" s="93"/>
      <c r="B549" s="21"/>
      <c r="C549" s="294" t="s">
        <v>1095</v>
      </c>
      <c r="D549" s="1191"/>
      <c r="E549" s="295" t="s">
        <v>1096</v>
      </c>
      <c r="F549" s="1122"/>
      <c r="G549" s="1730"/>
      <c r="H549" s="1721"/>
      <c r="I549" s="1711"/>
      <c r="J549" s="1713"/>
      <c r="K549" s="1711"/>
      <c r="L549" s="1722"/>
      <c r="M549" s="1713"/>
      <c r="N549" s="355"/>
    </row>
    <row r="550" spans="1:14" s="94" customFormat="1">
      <c r="A550" s="93"/>
      <c r="B550" s="21"/>
      <c r="C550" s="296" t="s">
        <v>1097</v>
      </c>
      <c r="D550" s="1191"/>
      <c r="E550" s="294" t="s">
        <v>1098</v>
      </c>
      <c r="F550" s="1122"/>
      <c r="G550" s="1730"/>
      <c r="H550" s="1721"/>
      <c r="I550" s="1711"/>
      <c r="J550" s="1713"/>
      <c r="K550" s="1711"/>
      <c r="L550" s="1722"/>
      <c r="M550" s="1713"/>
      <c r="N550" s="355"/>
    </row>
    <row r="551" spans="1:14" s="94" customFormat="1" ht="15" thickBot="1">
      <c r="A551" s="93"/>
      <c r="B551" s="21"/>
      <c r="C551" s="297" t="s">
        <v>1099</v>
      </c>
      <c r="D551" s="1192"/>
      <c r="E551" s="297" t="s">
        <v>1100</v>
      </c>
      <c r="F551" s="1123"/>
      <c r="G551" s="1732"/>
      <c r="H551" s="1733"/>
      <c r="I551" s="1712"/>
      <c r="J551" s="1715"/>
      <c r="K551" s="1712"/>
      <c r="L551" s="1714"/>
      <c r="M551" s="1715"/>
      <c r="N551" s="355"/>
    </row>
    <row r="552" spans="1:14" s="94" customFormat="1" ht="15" thickBot="1">
      <c r="A552" s="93"/>
      <c r="B552" s="21"/>
      <c r="C552" s="65" t="s">
        <v>1101</v>
      </c>
      <c r="D552" s="1190" t="s">
        <v>1102</v>
      </c>
      <c r="E552" s="138" t="s">
        <v>1103</v>
      </c>
      <c r="F552" s="1121" t="s">
        <v>108</v>
      </c>
      <c r="G552" s="1177">
        <v>1.1399999999999999</v>
      </c>
      <c r="H552" s="1229">
        <v>192</v>
      </c>
      <c r="I552" s="1137">
        <v>16.7</v>
      </c>
      <c r="J552" s="1196">
        <f>M552/K552</f>
        <v>17.279999999999998</v>
      </c>
      <c r="K552" s="1194">
        <v>60</v>
      </c>
      <c r="L552" s="1213">
        <f>K552*I552</f>
        <v>1002</v>
      </c>
      <c r="M552" s="1196">
        <v>1036.8</v>
      </c>
      <c r="N552" s="355"/>
    </row>
    <row r="553" spans="1:14" s="94" customFormat="1" ht="15" thickBot="1">
      <c r="A553" s="93"/>
      <c r="B553" s="21"/>
      <c r="C553" s="64" t="s">
        <v>1104</v>
      </c>
      <c r="D553" s="1192"/>
      <c r="E553" s="140" t="s">
        <v>1105</v>
      </c>
      <c r="F553" s="1123"/>
      <c r="G553" s="1732"/>
      <c r="H553" s="1733"/>
      <c r="I553" s="1712"/>
      <c r="J553" s="1715"/>
      <c r="K553" s="1712"/>
      <c r="L553" s="1714"/>
      <c r="M553" s="1715"/>
      <c r="N553" s="355"/>
    </row>
    <row r="554" spans="1:14" s="94" customFormat="1" ht="15" thickBot="1">
      <c r="A554" s="93"/>
      <c r="B554" s="21"/>
      <c r="C554" s="65" t="s">
        <v>1106</v>
      </c>
      <c r="D554" s="1190" t="s">
        <v>1107</v>
      </c>
      <c r="E554" s="138" t="s">
        <v>1108</v>
      </c>
      <c r="F554" s="1121" t="s">
        <v>108</v>
      </c>
      <c r="G554" s="1177">
        <v>2.58</v>
      </c>
      <c r="H554" s="1229">
        <v>8</v>
      </c>
      <c r="I554" s="1137">
        <v>0.71840000000000004</v>
      </c>
      <c r="J554" s="1196">
        <v>2.0640000000000001</v>
      </c>
      <c r="K554" s="1194">
        <v>390</v>
      </c>
      <c r="L554" s="1213">
        <v>280.17599999999999</v>
      </c>
      <c r="M554" s="1196">
        <v>804.96</v>
      </c>
      <c r="N554" s="355"/>
    </row>
    <row r="555" spans="1:14" s="94" customFormat="1" ht="15" thickBot="1">
      <c r="A555" s="93"/>
      <c r="B555" s="21"/>
      <c r="C555" s="64" t="s">
        <v>1109</v>
      </c>
      <c r="D555" s="1192"/>
      <c r="E555" s="140" t="s">
        <v>1110</v>
      </c>
      <c r="F555" s="1123"/>
      <c r="G555" s="1732"/>
      <c r="H555" s="1733"/>
      <c r="I555" s="1712"/>
      <c r="J555" s="1715"/>
      <c r="K555" s="1712"/>
      <c r="L555" s="1714"/>
      <c r="M555" s="1715"/>
      <c r="N555" s="355"/>
    </row>
    <row r="556" spans="1:14" s="94" customFormat="1" ht="15" thickBot="1">
      <c r="A556" s="93"/>
      <c r="B556" s="21"/>
      <c r="C556" s="292" t="s">
        <v>1111</v>
      </c>
      <c r="D556" s="1121" t="s">
        <v>1112</v>
      </c>
      <c r="E556" s="292" t="s">
        <v>1113</v>
      </c>
      <c r="F556" s="1121" t="s">
        <v>108</v>
      </c>
      <c r="G556" s="1177">
        <v>0.54</v>
      </c>
      <c r="H556" s="1194">
        <v>120</v>
      </c>
      <c r="I556" s="1137">
        <v>10</v>
      </c>
      <c r="J556" s="1246">
        <v>23.76</v>
      </c>
      <c r="K556" s="1194">
        <v>64</v>
      </c>
      <c r="L556" s="1213">
        <v>640</v>
      </c>
      <c r="M556" s="1196">
        <v>1520.64</v>
      </c>
      <c r="N556" s="355"/>
    </row>
    <row r="557" spans="1:14" s="94" customFormat="1">
      <c r="A557" s="93"/>
      <c r="B557" s="21"/>
      <c r="C557" s="296" t="s">
        <v>1114</v>
      </c>
      <c r="D557" s="1122"/>
      <c r="E557" s="295" t="s">
        <v>1115</v>
      </c>
      <c r="F557" s="1122"/>
      <c r="G557" s="1730"/>
      <c r="H557" s="1711"/>
      <c r="I557" s="1711"/>
      <c r="J557" s="1713"/>
      <c r="K557" s="1711"/>
      <c r="L557" s="1722"/>
      <c r="M557" s="1713"/>
      <c r="N557" s="355"/>
    </row>
    <row r="558" spans="1:14" s="94" customFormat="1">
      <c r="A558" s="93"/>
      <c r="B558" s="21"/>
      <c r="C558" s="296" t="s">
        <v>1116</v>
      </c>
      <c r="D558" s="1122"/>
      <c r="E558" s="298" t="s">
        <v>1117</v>
      </c>
      <c r="F558" s="1122"/>
      <c r="G558" s="1730"/>
      <c r="H558" s="1711"/>
      <c r="I558" s="1711"/>
      <c r="J558" s="1713"/>
      <c r="K558" s="1711"/>
      <c r="L558" s="1722"/>
      <c r="M558" s="1713"/>
      <c r="N558" s="355"/>
    </row>
    <row r="559" spans="1:14" s="94" customFormat="1">
      <c r="A559" s="93"/>
      <c r="B559" s="21"/>
      <c r="C559" s="295" t="s">
        <v>1118</v>
      </c>
      <c r="D559" s="1122"/>
      <c r="E559" s="294" t="s">
        <v>1119</v>
      </c>
      <c r="F559" s="1122"/>
      <c r="G559" s="1730"/>
      <c r="H559" s="1711"/>
      <c r="I559" s="1711"/>
      <c r="J559" s="1713"/>
      <c r="K559" s="1711"/>
      <c r="L559" s="1722"/>
      <c r="M559" s="1713"/>
      <c r="N559" s="355"/>
    </row>
    <row r="560" spans="1:14" s="94" customFormat="1">
      <c r="A560" s="93"/>
      <c r="B560" s="21"/>
      <c r="C560" s="294" t="s">
        <v>1120</v>
      </c>
      <c r="D560" s="1122"/>
      <c r="E560" s="295" t="s">
        <v>1121</v>
      </c>
      <c r="F560" s="1122"/>
      <c r="G560" s="1730"/>
      <c r="H560" s="1711"/>
      <c r="I560" s="1711"/>
      <c r="J560" s="1713"/>
      <c r="K560" s="1711"/>
      <c r="L560" s="1722"/>
      <c r="M560" s="1713"/>
      <c r="N560" s="355"/>
    </row>
    <row r="561" spans="1:14" s="94" customFormat="1" ht="15" thickBot="1">
      <c r="A561" s="93"/>
      <c r="B561" s="21"/>
      <c r="C561" s="297" t="s">
        <v>1122</v>
      </c>
      <c r="D561" s="1123"/>
      <c r="E561" s="291" t="s">
        <v>1123</v>
      </c>
      <c r="F561" s="1123"/>
      <c r="G561" s="1732"/>
      <c r="H561" s="1712"/>
      <c r="I561" s="1712"/>
      <c r="J561" s="1715"/>
      <c r="K561" s="1712"/>
      <c r="L561" s="1714"/>
      <c r="M561" s="1715"/>
      <c r="N561" s="355"/>
    </row>
    <row r="562" spans="1:14" s="94" customFormat="1" ht="15" thickBot="1">
      <c r="A562" s="93"/>
      <c r="B562" s="21"/>
      <c r="C562" s="882"/>
      <c r="D562" s="106"/>
      <c r="E562" s="67"/>
      <c r="F562" s="106"/>
      <c r="G562" s="562"/>
      <c r="H562" s="106"/>
      <c r="I562" s="91"/>
      <c r="J562" s="106"/>
      <c r="K562" s="106"/>
      <c r="L562" s="91"/>
      <c r="M562" s="91"/>
      <c r="N562" s="355"/>
    </row>
    <row r="563" spans="1:14" s="94" customFormat="1" ht="31.5" customHeight="1" thickBot="1">
      <c r="A563" s="93"/>
      <c r="B563" s="21"/>
      <c r="C563" s="95" t="s">
        <v>1124</v>
      </c>
      <c r="D563" s="232"/>
      <c r="E563" s="93"/>
      <c r="F563" s="21"/>
      <c r="G563" s="93"/>
      <c r="H563" s="1311" t="s">
        <v>101</v>
      </c>
      <c r="I563" s="1726"/>
      <c r="J563" s="1727"/>
      <c r="K563" s="1311" t="s">
        <v>102</v>
      </c>
      <c r="L563" s="1726"/>
      <c r="M563" s="1727"/>
      <c r="N563" s="96"/>
    </row>
    <row r="564" spans="1:14" s="94" customFormat="1" ht="15" thickBot="1">
      <c r="A564" s="93"/>
      <c r="B564" s="21"/>
      <c r="C564" s="98" t="s">
        <v>103</v>
      </c>
      <c r="D564" s="99" t="s">
        <v>104</v>
      </c>
      <c r="E564" s="98" t="s">
        <v>105</v>
      </c>
      <c r="F564" s="99" t="s">
        <v>106</v>
      </c>
      <c r="G564" s="99" t="s">
        <v>107</v>
      </c>
      <c r="H564" s="997" t="s">
        <v>108</v>
      </c>
      <c r="I564" s="135" t="s">
        <v>109</v>
      </c>
      <c r="J564" s="136" t="s">
        <v>110</v>
      </c>
      <c r="K564" s="137" t="s">
        <v>111</v>
      </c>
      <c r="L564" s="135" t="s">
        <v>109</v>
      </c>
      <c r="M564" s="136" t="s">
        <v>110</v>
      </c>
      <c r="N564" s="103"/>
    </row>
    <row r="565" spans="1:14" s="94" customFormat="1" ht="15" thickBot="1">
      <c r="A565" s="93"/>
      <c r="B565" s="21" t="s">
        <v>326</v>
      </c>
      <c r="C565" s="292" t="s">
        <v>1125</v>
      </c>
      <c r="D565" s="1190" t="s">
        <v>1126</v>
      </c>
      <c r="E565" s="292" t="s">
        <v>1127</v>
      </c>
      <c r="F565" s="1121" t="s">
        <v>108</v>
      </c>
      <c r="G565" s="1148">
        <v>1.1399999999999999</v>
      </c>
      <c r="H565" s="1115">
        <v>100</v>
      </c>
      <c r="I565" s="1137">
        <v>10.4</v>
      </c>
      <c r="J565" s="1294">
        <v>25</v>
      </c>
      <c r="K565" s="1115">
        <v>72</v>
      </c>
      <c r="L565" s="1235">
        <v>748.8</v>
      </c>
      <c r="M565" s="1294">
        <v>1800</v>
      </c>
      <c r="N565" s="355"/>
    </row>
    <row r="566" spans="1:14" s="94" customFormat="1">
      <c r="A566" s="93"/>
      <c r="B566" s="21"/>
      <c r="C566" s="296" t="s">
        <v>1128</v>
      </c>
      <c r="D566" s="1191"/>
      <c r="E566" s="295" t="s">
        <v>1129</v>
      </c>
      <c r="F566" s="1122"/>
      <c r="G566" s="1730"/>
      <c r="H566" s="1711"/>
      <c r="I566" s="1711"/>
      <c r="J566" s="1713"/>
      <c r="K566" s="1711"/>
      <c r="L566" s="1722"/>
      <c r="M566" s="1713"/>
      <c r="N566" s="355"/>
    </row>
    <row r="567" spans="1:14" s="94" customFormat="1">
      <c r="A567" s="93"/>
      <c r="B567" s="21"/>
      <c r="C567" s="296" t="s">
        <v>1130</v>
      </c>
      <c r="D567" s="1191"/>
      <c r="E567" s="298" t="s">
        <v>1131</v>
      </c>
      <c r="F567" s="1122"/>
      <c r="G567" s="1730"/>
      <c r="H567" s="1711"/>
      <c r="I567" s="1711"/>
      <c r="J567" s="1713"/>
      <c r="K567" s="1711"/>
      <c r="L567" s="1722"/>
      <c r="M567" s="1713"/>
      <c r="N567" s="355"/>
    </row>
    <row r="568" spans="1:14" s="94" customFormat="1">
      <c r="A568" s="93"/>
      <c r="B568" s="21"/>
      <c r="C568" s="294" t="s">
        <v>1132</v>
      </c>
      <c r="D568" s="1191"/>
      <c r="E568" s="295" t="s">
        <v>1133</v>
      </c>
      <c r="F568" s="1122"/>
      <c r="G568" s="1730"/>
      <c r="H568" s="1711"/>
      <c r="I568" s="1711"/>
      <c r="J568" s="1713"/>
      <c r="K568" s="1711"/>
      <c r="L568" s="1722"/>
      <c r="M568" s="1713"/>
      <c r="N568" s="355"/>
    </row>
    <row r="569" spans="1:14" s="94" customFormat="1">
      <c r="A569" s="93"/>
      <c r="B569" s="21"/>
      <c r="C569" s="295" t="s">
        <v>1134</v>
      </c>
      <c r="D569" s="1191"/>
      <c r="E569" s="298" t="s">
        <v>1135</v>
      </c>
      <c r="F569" s="1122"/>
      <c r="G569" s="1731"/>
      <c r="H569" s="1711"/>
      <c r="I569" s="1711"/>
      <c r="J569" s="1713"/>
      <c r="K569" s="1711"/>
      <c r="L569" s="1722"/>
      <c r="M569" s="1713"/>
      <c r="N569" s="355"/>
    </row>
    <row r="570" spans="1:14" s="94" customFormat="1" ht="15" thickBot="1">
      <c r="A570" s="93"/>
      <c r="B570" s="21"/>
      <c r="C570" s="295" t="s">
        <v>1136</v>
      </c>
      <c r="D570" s="1192"/>
      <c r="E570" s="295" t="s">
        <v>1137</v>
      </c>
      <c r="F570" s="1122"/>
      <c r="G570" s="565">
        <v>1.5</v>
      </c>
      <c r="H570" s="1724"/>
      <c r="I570" s="1712"/>
      <c r="J570" s="1725"/>
      <c r="K570" s="1724"/>
      <c r="L570" s="1678"/>
      <c r="M570" s="1725"/>
      <c r="N570" s="355"/>
    </row>
    <row r="571" spans="1:14" s="94" customFormat="1" ht="15" thickBot="1">
      <c r="A571" s="93"/>
      <c r="B571" s="21"/>
      <c r="C571" s="292" t="s">
        <v>1138</v>
      </c>
      <c r="D571" s="1121" t="s">
        <v>1139</v>
      </c>
      <c r="E571" s="237" t="s">
        <v>1140</v>
      </c>
      <c r="F571" s="1121" t="s">
        <v>108</v>
      </c>
      <c r="G571" s="1177">
        <v>1.8</v>
      </c>
      <c r="H571" s="1194">
        <v>48</v>
      </c>
      <c r="I571" s="1194">
        <v>8.82</v>
      </c>
      <c r="J571" s="1246">
        <v>23.52</v>
      </c>
      <c r="K571" s="1194">
        <v>65</v>
      </c>
      <c r="L571" s="1283">
        <v>573.29999999999995</v>
      </c>
      <c r="M571" s="1141">
        <v>1528.8</v>
      </c>
      <c r="N571" s="355"/>
    </row>
    <row r="572" spans="1:14" s="94" customFormat="1">
      <c r="A572" s="93"/>
      <c r="B572" s="21"/>
      <c r="C572" s="295" t="s">
        <v>1141</v>
      </c>
      <c r="D572" s="1122"/>
      <c r="E572" s="294" t="s">
        <v>1142</v>
      </c>
      <c r="F572" s="1122"/>
      <c r="G572" s="1730"/>
      <c r="H572" s="1711"/>
      <c r="I572" s="1711"/>
      <c r="J572" s="1713"/>
      <c r="K572" s="1711"/>
      <c r="L572" s="1722"/>
      <c r="M572" s="1713"/>
      <c r="N572" s="355"/>
    </row>
    <row r="573" spans="1:14" s="94" customFormat="1">
      <c r="A573" s="93"/>
      <c r="B573" s="21"/>
      <c r="C573" s="295" t="s">
        <v>1143</v>
      </c>
      <c r="D573" s="1122"/>
      <c r="E573" s="296" t="s">
        <v>1144</v>
      </c>
      <c r="F573" s="1122"/>
      <c r="G573" s="1730"/>
      <c r="H573" s="1711"/>
      <c r="I573" s="1711"/>
      <c r="J573" s="1713"/>
      <c r="K573" s="1711"/>
      <c r="L573" s="1722"/>
      <c r="M573" s="1713"/>
      <c r="N573" s="355"/>
    </row>
    <row r="574" spans="1:14" s="94" customFormat="1">
      <c r="A574" s="93"/>
      <c r="B574" s="21"/>
      <c r="C574" s="295" t="s">
        <v>1145</v>
      </c>
      <c r="D574" s="1122"/>
      <c r="E574" s="295" t="s">
        <v>1146</v>
      </c>
      <c r="F574" s="1122"/>
      <c r="G574" s="1730"/>
      <c r="H574" s="1711"/>
      <c r="I574" s="1711"/>
      <c r="J574" s="1713"/>
      <c r="K574" s="1711"/>
      <c r="L574" s="1722"/>
      <c r="M574" s="1713"/>
      <c r="N574" s="355"/>
    </row>
    <row r="575" spans="1:14" s="94" customFormat="1" ht="15" thickBot="1">
      <c r="A575" s="93"/>
      <c r="B575" s="21"/>
      <c r="C575" s="291" t="s">
        <v>1147</v>
      </c>
      <c r="D575" s="1123"/>
      <c r="E575" s="291" t="s">
        <v>1148</v>
      </c>
      <c r="F575" s="1123"/>
      <c r="G575" s="1732"/>
      <c r="H575" s="1712"/>
      <c r="I575" s="1712"/>
      <c r="J575" s="1715"/>
      <c r="K575" s="1712"/>
      <c r="L575" s="1714"/>
      <c r="M575" s="1715"/>
      <c r="N575" s="355"/>
    </row>
    <row r="576" spans="1:14" s="94" customFormat="1" ht="15" thickBot="1">
      <c r="A576" s="93"/>
      <c r="B576" s="21"/>
      <c r="C576" s="237" t="s">
        <v>1149</v>
      </c>
      <c r="D576" s="1121" t="s">
        <v>1150</v>
      </c>
      <c r="E576" s="237" t="s">
        <v>1151</v>
      </c>
      <c r="F576" s="1121" t="s">
        <v>108</v>
      </c>
      <c r="G576" s="1177">
        <v>1.56</v>
      </c>
      <c r="H576" s="1194">
        <v>60</v>
      </c>
      <c r="I576" s="1194">
        <v>2.11</v>
      </c>
      <c r="J576" s="1196">
        <v>15.6</v>
      </c>
      <c r="K576" s="1194">
        <v>105</v>
      </c>
      <c r="L576" s="1423">
        <v>221.55</v>
      </c>
      <c r="M576" s="1141">
        <v>1638</v>
      </c>
      <c r="N576" s="355"/>
    </row>
    <row r="577" spans="1:14" s="94" customFormat="1">
      <c r="A577" s="93"/>
      <c r="B577" s="21"/>
      <c r="C577" s="294" t="s">
        <v>1152</v>
      </c>
      <c r="D577" s="1122"/>
      <c r="E577" s="295" t="s">
        <v>1153</v>
      </c>
      <c r="F577" s="1122"/>
      <c r="G577" s="1730"/>
      <c r="H577" s="1711"/>
      <c r="I577" s="1711"/>
      <c r="J577" s="1713"/>
      <c r="K577" s="1711"/>
      <c r="L577" s="1722"/>
      <c r="M577" s="1713"/>
      <c r="N577" s="355"/>
    </row>
    <row r="578" spans="1:14" s="94" customFormat="1">
      <c r="A578" s="93"/>
      <c r="B578" s="21"/>
      <c r="C578" s="295" t="s">
        <v>1154</v>
      </c>
      <c r="D578" s="1122"/>
      <c r="E578" s="294" t="s">
        <v>1155</v>
      </c>
      <c r="F578" s="1122"/>
      <c r="G578" s="1730"/>
      <c r="H578" s="1711"/>
      <c r="I578" s="1711"/>
      <c r="J578" s="1713"/>
      <c r="K578" s="1711"/>
      <c r="L578" s="1722"/>
      <c r="M578" s="1713"/>
      <c r="N578" s="355"/>
    </row>
    <row r="579" spans="1:14" s="94" customFormat="1" ht="15" thickBot="1">
      <c r="A579" s="93"/>
      <c r="B579" s="21"/>
      <c r="C579" s="291" t="s">
        <v>1156</v>
      </c>
      <c r="D579" s="1123"/>
      <c r="E579" s="297" t="s">
        <v>1157</v>
      </c>
      <c r="F579" s="1123"/>
      <c r="G579" s="1732"/>
      <c r="H579" s="1712"/>
      <c r="I579" s="1712"/>
      <c r="J579" s="1715"/>
      <c r="K579" s="1712"/>
      <c r="L579" s="1714"/>
      <c r="M579" s="1715"/>
      <c r="N579" s="355"/>
    </row>
    <row r="580" spans="1:14" s="94" customFormat="1" ht="15" thickBot="1">
      <c r="A580" s="93"/>
      <c r="B580" s="21"/>
      <c r="C580" s="292" t="s">
        <v>1158</v>
      </c>
      <c r="D580" s="1190" t="s">
        <v>1159</v>
      </c>
      <c r="E580" s="237" t="s">
        <v>1160</v>
      </c>
      <c r="F580" s="1121" t="s">
        <v>108</v>
      </c>
      <c r="G580" s="1177">
        <v>0.9</v>
      </c>
      <c r="H580" s="1194">
        <v>60</v>
      </c>
      <c r="I580" s="1137">
        <v>9.2308000000000003</v>
      </c>
      <c r="J580" s="1196">
        <v>24.48</v>
      </c>
      <c r="K580" s="1194">
        <v>80</v>
      </c>
      <c r="L580" s="1283">
        <v>738.46400000000006</v>
      </c>
      <c r="M580" s="1141">
        <v>1958.4</v>
      </c>
      <c r="N580" s="355"/>
    </row>
    <row r="581" spans="1:14" s="94" customFormat="1">
      <c r="A581" s="93"/>
      <c r="B581" s="21"/>
      <c r="C581" s="295" t="s">
        <v>1161</v>
      </c>
      <c r="D581" s="1191"/>
      <c r="E581" s="294" t="s">
        <v>1162</v>
      </c>
      <c r="F581" s="1122"/>
      <c r="G581" s="1730"/>
      <c r="H581" s="1711"/>
      <c r="I581" s="1711"/>
      <c r="J581" s="1713"/>
      <c r="K581" s="1711"/>
      <c r="L581" s="1722"/>
      <c r="M581" s="1713"/>
      <c r="N581" s="355"/>
    </row>
    <row r="582" spans="1:14" s="94" customFormat="1">
      <c r="A582" s="93"/>
      <c r="B582" s="21"/>
      <c r="C582" s="295" t="s">
        <v>1163</v>
      </c>
      <c r="D582" s="1191"/>
      <c r="E582" s="296" t="s">
        <v>1164</v>
      </c>
      <c r="F582" s="1122"/>
      <c r="G582" s="1730"/>
      <c r="H582" s="1711"/>
      <c r="I582" s="1711"/>
      <c r="J582" s="1713"/>
      <c r="K582" s="1711"/>
      <c r="L582" s="1722"/>
      <c r="M582" s="1713"/>
      <c r="N582" s="355"/>
    </row>
    <row r="583" spans="1:14" s="94" customFormat="1">
      <c r="A583" s="93"/>
      <c r="B583" s="21"/>
      <c r="C583" s="295" t="s">
        <v>1165</v>
      </c>
      <c r="D583" s="1191"/>
      <c r="E583" s="296" t="s">
        <v>1166</v>
      </c>
      <c r="F583" s="1122"/>
      <c r="G583" s="1730"/>
      <c r="H583" s="1711"/>
      <c r="I583" s="1711"/>
      <c r="J583" s="1713"/>
      <c r="K583" s="1711"/>
      <c r="L583" s="1722"/>
      <c r="M583" s="1713"/>
      <c r="N583" s="355"/>
    </row>
    <row r="584" spans="1:14" s="94" customFormat="1">
      <c r="A584" s="93"/>
      <c r="B584" s="21"/>
      <c r="C584" s="295" t="s">
        <v>1167</v>
      </c>
      <c r="D584" s="1191"/>
      <c r="E584" s="295" t="s">
        <v>1168</v>
      </c>
      <c r="F584" s="1122"/>
      <c r="G584" s="1730"/>
      <c r="H584" s="1711"/>
      <c r="I584" s="1711"/>
      <c r="J584" s="1713"/>
      <c r="K584" s="1711"/>
      <c r="L584" s="1722"/>
      <c r="M584" s="1713"/>
      <c r="N584" s="355"/>
    </row>
    <row r="585" spans="1:14" s="94" customFormat="1" ht="15" thickBot="1">
      <c r="A585" s="93"/>
      <c r="B585" s="21"/>
      <c r="C585" s="291" t="s">
        <v>1169</v>
      </c>
      <c r="D585" s="1192"/>
      <c r="E585" s="291" t="s">
        <v>1170</v>
      </c>
      <c r="F585" s="1123"/>
      <c r="G585" s="1732"/>
      <c r="H585" s="1712"/>
      <c r="I585" s="1712"/>
      <c r="J585" s="1715"/>
      <c r="K585" s="1712"/>
      <c r="L585" s="1714"/>
      <c r="M585" s="1715"/>
      <c r="N585" s="355"/>
    </row>
    <row r="586" spans="1:14" s="94" customFormat="1" ht="14.45" customHeight="1" thickBot="1">
      <c r="A586" s="93"/>
      <c r="B586" s="21"/>
      <c r="C586" s="65" t="s">
        <v>1171</v>
      </c>
      <c r="D586" s="1190" t="s">
        <v>1172</v>
      </c>
      <c r="E586" s="65" t="s">
        <v>1173</v>
      </c>
      <c r="F586" s="1121" t="s">
        <v>108</v>
      </c>
      <c r="G586" s="1177">
        <v>2.4</v>
      </c>
      <c r="H586" s="1194">
        <v>6</v>
      </c>
      <c r="I586" s="1137">
        <v>0.92310000000000003</v>
      </c>
      <c r="J586" s="1196">
        <v>2.706</v>
      </c>
      <c r="K586" s="1194">
        <v>456</v>
      </c>
      <c r="L586" s="1283">
        <v>420.93360000000001</v>
      </c>
      <c r="M586" s="1141">
        <v>1233.94</v>
      </c>
      <c r="N586" s="355"/>
    </row>
    <row r="587" spans="1:14" s="94" customFormat="1" ht="15" thickBot="1">
      <c r="A587" s="93"/>
      <c r="B587" s="21"/>
      <c r="C587" s="64" t="s">
        <v>1174</v>
      </c>
      <c r="D587" s="1192"/>
      <c r="E587" s="64" t="s">
        <v>1175</v>
      </c>
      <c r="F587" s="1123"/>
      <c r="G587" s="1730"/>
      <c r="H587" s="1711"/>
      <c r="I587" s="1711"/>
      <c r="J587" s="1713"/>
      <c r="K587" s="1711"/>
      <c r="L587" s="1722"/>
      <c r="M587" s="1713"/>
      <c r="N587" s="355"/>
    </row>
    <row r="588" spans="1:14" s="94" customFormat="1" ht="14.45" customHeight="1">
      <c r="A588" s="93"/>
      <c r="B588" s="21"/>
      <c r="C588" s="65" t="s">
        <v>1176</v>
      </c>
      <c r="D588" s="1190" t="s">
        <v>1177</v>
      </c>
      <c r="E588" s="65" t="s">
        <v>1178</v>
      </c>
      <c r="F588" s="1121" t="s">
        <v>108</v>
      </c>
      <c r="G588" s="1730"/>
      <c r="H588" s="1711"/>
      <c r="I588" s="1711"/>
      <c r="J588" s="1713"/>
      <c r="K588" s="1711"/>
      <c r="L588" s="1722"/>
      <c r="M588" s="1713"/>
      <c r="N588" s="355"/>
    </row>
    <row r="589" spans="1:14" s="94" customFormat="1" ht="15" thickBot="1">
      <c r="A589" s="93"/>
      <c r="B589" s="21"/>
      <c r="C589" s="64" t="s">
        <v>1179</v>
      </c>
      <c r="D589" s="1192"/>
      <c r="E589" s="64" t="s">
        <v>1180</v>
      </c>
      <c r="F589" s="1123"/>
      <c r="G589" s="1732"/>
      <c r="H589" s="1712"/>
      <c r="I589" s="1712"/>
      <c r="J589" s="1715"/>
      <c r="K589" s="1712"/>
      <c r="L589" s="1714"/>
      <c r="M589" s="1715"/>
      <c r="N589" s="355"/>
    </row>
    <row r="590" spans="1:14" s="94" customFormat="1" ht="18.75" customHeight="1" thickBot="1">
      <c r="A590" s="93"/>
      <c r="B590" s="21"/>
      <c r="C590" s="65" t="s">
        <v>1181</v>
      </c>
      <c r="D590" s="1190" t="s">
        <v>1182</v>
      </c>
      <c r="E590" s="65" t="s">
        <v>1183</v>
      </c>
      <c r="F590" s="1121" t="s">
        <v>108</v>
      </c>
      <c r="G590" s="1177">
        <v>1.1399999999999999</v>
      </c>
      <c r="H590" s="1229">
        <v>120</v>
      </c>
      <c r="I590" s="1137">
        <v>2.58E-2</v>
      </c>
      <c r="J590" s="1196">
        <v>7.92</v>
      </c>
      <c r="K590" s="1194">
        <v>60</v>
      </c>
      <c r="L590" s="1283">
        <v>1.548</v>
      </c>
      <c r="M590" s="1141">
        <v>475.2</v>
      </c>
      <c r="N590" s="355"/>
    </row>
    <row r="591" spans="1:14" s="94" customFormat="1" ht="21.75" customHeight="1" thickBot="1">
      <c r="A591" s="93"/>
      <c r="B591" s="21"/>
      <c r="C591" s="64" t="s">
        <v>1184</v>
      </c>
      <c r="D591" s="1192"/>
      <c r="E591" s="64" t="s">
        <v>1185</v>
      </c>
      <c r="F591" s="1123"/>
      <c r="G591" s="1732"/>
      <c r="H591" s="1733"/>
      <c r="I591" s="1712"/>
      <c r="J591" s="1715"/>
      <c r="K591" s="1712"/>
      <c r="L591" s="1714"/>
      <c r="M591" s="1715"/>
      <c r="N591" s="355"/>
    </row>
    <row r="592" spans="1:14" s="94" customFormat="1" ht="15" thickBot="1">
      <c r="A592" s="93"/>
      <c r="B592" s="21"/>
      <c r="C592" s="292" t="s">
        <v>1186</v>
      </c>
      <c r="D592" s="1190" t="s">
        <v>1187</v>
      </c>
      <c r="E592" s="292" t="s">
        <v>1188</v>
      </c>
      <c r="F592" s="1121" t="s">
        <v>108</v>
      </c>
      <c r="G592" s="1177">
        <v>1.1399999999999999</v>
      </c>
      <c r="H592" s="1115">
        <v>50</v>
      </c>
      <c r="I592" s="1137">
        <v>1.5625</v>
      </c>
      <c r="J592" s="1294">
        <v>4.5</v>
      </c>
      <c r="K592" s="1115">
        <v>300</v>
      </c>
      <c r="L592" s="1458">
        <v>468.75</v>
      </c>
      <c r="M592" s="1436">
        <v>1350</v>
      </c>
      <c r="N592" s="355"/>
    </row>
    <row r="593" spans="1:14" s="94" customFormat="1">
      <c r="A593" s="93"/>
      <c r="B593" s="21"/>
      <c r="C593" s="296" t="s">
        <v>1189</v>
      </c>
      <c r="D593" s="1191"/>
      <c r="E593" s="295" t="s">
        <v>1190</v>
      </c>
      <c r="F593" s="1122"/>
      <c r="G593" s="1730"/>
      <c r="H593" s="1711"/>
      <c r="I593" s="1711"/>
      <c r="J593" s="1713"/>
      <c r="K593" s="1711"/>
      <c r="L593" s="1722"/>
      <c r="M593" s="1713"/>
      <c r="N593" s="355"/>
    </row>
    <row r="594" spans="1:14" s="94" customFormat="1">
      <c r="A594" s="93"/>
      <c r="B594" s="21"/>
      <c r="C594" s="296" t="s">
        <v>1191</v>
      </c>
      <c r="D594" s="1191"/>
      <c r="E594" s="295" t="s">
        <v>1192</v>
      </c>
      <c r="F594" s="1122"/>
      <c r="G594" s="1730"/>
      <c r="H594" s="1711"/>
      <c r="I594" s="1711"/>
      <c r="J594" s="1713"/>
      <c r="K594" s="1711"/>
      <c r="L594" s="1722"/>
      <c r="M594" s="1713"/>
      <c r="N594" s="355"/>
    </row>
    <row r="595" spans="1:14" s="94" customFormat="1">
      <c r="A595" s="93"/>
      <c r="B595" s="21"/>
      <c r="C595" s="296" t="s">
        <v>1193</v>
      </c>
      <c r="D595" s="1191"/>
      <c r="E595" s="294" t="s">
        <v>1194</v>
      </c>
      <c r="F595" s="1122"/>
      <c r="G595" s="1730"/>
      <c r="H595" s="1711"/>
      <c r="I595" s="1711"/>
      <c r="J595" s="1713"/>
      <c r="K595" s="1711"/>
      <c r="L595" s="1722"/>
      <c r="M595" s="1713"/>
      <c r="N595" s="355"/>
    </row>
    <row r="596" spans="1:14" s="94" customFormat="1">
      <c r="A596" s="93"/>
      <c r="B596" s="21"/>
      <c r="C596" s="295" t="s">
        <v>1195</v>
      </c>
      <c r="D596" s="1191"/>
      <c r="E596" s="295" t="s">
        <v>1196</v>
      </c>
      <c r="F596" s="1122"/>
      <c r="G596" s="1730"/>
      <c r="H596" s="1711"/>
      <c r="I596" s="1711"/>
      <c r="J596" s="1713"/>
      <c r="K596" s="1711"/>
      <c r="L596" s="1722"/>
      <c r="M596" s="1713"/>
      <c r="N596" s="355"/>
    </row>
    <row r="597" spans="1:14" s="94" customFormat="1" ht="15" thickBot="1">
      <c r="A597" s="93"/>
      <c r="B597" s="21"/>
      <c r="C597" s="294" t="s">
        <v>1197</v>
      </c>
      <c r="D597" s="1192"/>
      <c r="E597" s="298" t="s">
        <v>1198</v>
      </c>
      <c r="F597" s="1122"/>
      <c r="G597" s="1732"/>
      <c r="H597" s="1724"/>
      <c r="I597" s="1712"/>
      <c r="J597" s="1725"/>
      <c r="K597" s="1724"/>
      <c r="L597" s="1678"/>
      <c r="M597" s="1725"/>
      <c r="N597" s="355"/>
    </row>
    <row r="598" spans="1:14" s="94" customFormat="1" ht="14.25" customHeight="1" thickBot="1">
      <c r="A598" s="93"/>
      <c r="B598" s="21"/>
      <c r="C598" s="292" t="s">
        <v>1199</v>
      </c>
      <c r="D598" s="1190" t="s">
        <v>1200</v>
      </c>
      <c r="E598" s="237" t="s">
        <v>1201</v>
      </c>
      <c r="F598" s="1121" t="s">
        <v>108</v>
      </c>
      <c r="G598" s="1177">
        <v>1.8</v>
      </c>
      <c r="H598" s="1194">
        <v>10</v>
      </c>
      <c r="I598" s="1137">
        <v>0.3125</v>
      </c>
      <c r="J598" s="1196">
        <v>0.88</v>
      </c>
      <c r="K598" s="1194">
        <v>1200</v>
      </c>
      <c r="L598" s="1283">
        <v>375</v>
      </c>
      <c r="M598" s="1141">
        <v>1056</v>
      </c>
      <c r="N598" s="355"/>
    </row>
    <row r="599" spans="1:14" s="94" customFormat="1">
      <c r="A599" s="93"/>
      <c r="B599" s="21"/>
      <c r="C599" s="295" t="s">
        <v>1202</v>
      </c>
      <c r="D599" s="1191"/>
      <c r="E599" s="294" t="s">
        <v>1203</v>
      </c>
      <c r="F599" s="1122"/>
      <c r="G599" s="1730"/>
      <c r="H599" s="1711"/>
      <c r="I599" s="1711"/>
      <c r="J599" s="1713"/>
      <c r="K599" s="1711"/>
      <c r="L599" s="1722"/>
      <c r="M599" s="1713"/>
      <c r="N599" s="355"/>
    </row>
    <row r="600" spans="1:14" s="94" customFormat="1">
      <c r="A600" s="93"/>
      <c r="B600" s="21"/>
      <c r="C600" s="295" t="s">
        <v>1204</v>
      </c>
      <c r="D600" s="1191"/>
      <c r="E600" s="296" t="s">
        <v>1205</v>
      </c>
      <c r="F600" s="1122"/>
      <c r="G600" s="1730"/>
      <c r="H600" s="1711"/>
      <c r="I600" s="1711"/>
      <c r="J600" s="1713"/>
      <c r="K600" s="1711"/>
      <c r="L600" s="1722"/>
      <c r="M600" s="1713"/>
      <c r="N600" s="355"/>
    </row>
    <row r="601" spans="1:14" s="94" customFormat="1">
      <c r="A601" s="93"/>
      <c r="B601" s="21"/>
      <c r="C601" s="295" t="s">
        <v>1206</v>
      </c>
      <c r="D601" s="1191"/>
      <c r="E601" s="296" t="s">
        <v>1207</v>
      </c>
      <c r="F601" s="1122"/>
      <c r="G601" s="1730"/>
      <c r="H601" s="1711"/>
      <c r="I601" s="1711"/>
      <c r="J601" s="1713"/>
      <c r="K601" s="1711"/>
      <c r="L601" s="1722"/>
      <c r="M601" s="1713"/>
      <c r="N601" s="355"/>
    </row>
    <row r="602" spans="1:14" s="94" customFormat="1">
      <c r="A602" s="93"/>
      <c r="B602" s="21"/>
      <c r="C602" s="295" t="s">
        <v>1208</v>
      </c>
      <c r="D602" s="1191"/>
      <c r="E602" s="295" t="s">
        <v>1209</v>
      </c>
      <c r="F602" s="1122"/>
      <c r="G602" s="1730"/>
      <c r="H602" s="1711"/>
      <c r="I602" s="1711"/>
      <c r="J602" s="1713"/>
      <c r="K602" s="1711"/>
      <c r="L602" s="1722"/>
      <c r="M602" s="1713"/>
      <c r="N602" s="355"/>
    </row>
    <row r="603" spans="1:14" s="94" customFormat="1" ht="15" thickBot="1">
      <c r="A603" s="93"/>
      <c r="B603" s="21"/>
      <c r="C603" s="291" t="s">
        <v>1210</v>
      </c>
      <c r="D603" s="1192"/>
      <c r="E603" s="291" t="s">
        <v>1211</v>
      </c>
      <c r="F603" s="1123"/>
      <c r="G603" s="1732"/>
      <c r="H603" s="1712"/>
      <c r="I603" s="1712"/>
      <c r="J603" s="1715"/>
      <c r="K603" s="1712"/>
      <c r="L603" s="1714"/>
      <c r="M603" s="1715"/>
      <c r="N603" s="355"/>
    </row>
    <row r="604" spans="1:14" s="94" customFormat="1" ht="15" thickBot="1">
      <c r="A604" s="93"/>
      <c r="B604" s="21"/>
      <c r="C604" s="882" t="s">
        <v>247</v>
      </c>
      <c r="D604" s="142"/>
      <c r="E604" s="299"/>
      <c r="F604" s="106"/>
      <c r="G604" s="562"/>
      <c r="H604" s="106"/>
      <c r="I604" s="91"/>
      <c r="J604" s="91"/>
      <c r="K604" s="106"/>
      <c r="L604" s="91"/>
      <c r="M604" s="91"/>
      <c r="N604" s="355"/>
    </row>
    <row r="605" spans="1:14" s="94" customFormat="1" ht="31.5" customHeight="1" thickBot="1">
      <c r="A605" s="93"/>
      <c r="B605" s="21"/>
      <c r="C605" s="95" t="s">
        <v>1212</v>
      </c>
      <c r="D605" s="232"/>
      <c r="E605" s="93"/>
      <c r="F605" s="21"/>
      <c r="G605" s="93"/>
      <c r="H605" s="1311" t="s">
        <v>101</v>
      </c>
      <c r="I605" s="1726"/>
      <c r="J605" s="1727"/>
      <c r="K605" s="1311" t="s">
        <v>102</v>
      </c>
      <c r="L605" s="1726"/>
      <c r="M605" s="1727"/>
      <c r="N605" s="355"/>
    </row>
    <row r="606" spans="1:14" s="94" customFormat="1" ht="15" thickBot="1">
      <c r="A606" s="93"/>
      <c r="B606" s="21"/>
      <c r="C606" s="98" t="s">
        <v>103</v>
      </c>
      <c r="D606" s="99" t="s">
        <v>104</v>
      </c>
      <c r="E606" s="98" t="s">
        <v>105</v>
      </c>
      <c r="F606" s="99" t="s">
        <v>106</v>
      </c>
      <c r="G606" s="99" t="s">
        <v>107</v>
      </c>
      <c r="H606" s="997" t="s">
        <v>108</v>
      </c>
      <c r="I606" s="135" t="s">
        <v>109</v>
      </c>
      <c r="J606" s="136" t="s">
        <v>110</v>
      </c>
      <c r="K606" s="137" t="s">
        <v>111</v>
      </c>
      <c r="L606" s="126" t="s">
        <v>109</v>
      </c>
      <c r="M606" s="127" t="s">
        <v>110</v>
      </c>
      <c r="N606" s="355"/>
    </row>
    <row r="607" spans="1:14" s="94" customFormat="1" ht="15" thickBot="1">
      <c r="A607" s="93"/>
      <c r="B607" s="21" t="s">
        <v>326</v>
      </c>
      <c r="C607" s="292" t="s">
        <v>1213</v>
      </c>
      <c r="D607" s="1121" t="s">
        <v>1214</v>
      </c>
      <c r="E607" s="292" t="s">
        <v>1215</v>
      </c>
      <c r="F607" s="1121" t="s">
        <v>108</v>
      </c>
      <c r="G607" s="1177">
        <v>1.92</v>
      </c>
      <c r="H607" s="1320">
        <v>36</v>
      </c>
      <c r="I607" s="1137">
        <v>7.2864000000000004</v>
      </c>
      <c r="J607" s="1292">
        <v>18.576000000000001</v>
      </c>
      <c r="K607" s="1331">
        <v>99</v>
      </c>
      <c r="L607" s="1437">
        <v>721.35400000000004</v>
      </c>
      <c r="M607" s="1358">
        <v>1839.02</v>
      </c>
      <c r="N607" s="355"/>
    </row>
    <row r="608" spans="1:14" s="94" customFormat="1">
      <c r="A608" s="93"/>
      <c r="B608" s="21"/>
      <c r="C608" s="295" t="s">
        <v>1216</v>
      </c>
      <c r="D608" s="1122"/>
      <c r="E608" s="295" t="s">
        <v>1217</v>
      </c>
      <c r="F608" s="1122"/>
      <c r="G608" s="1730"/>
      <c r="H608" s="1721"/>
      <c r="I608" s="1711"/>
      <c r="J608" s="1734"/>
      <c r="K608" s="1711"/>
      <c r="L608" s="1722"/>
      <c r="M608" s="1713"/>
      <c r="N608" s="355"/>
    </row>
    <row r="609" spans="1:14" s="94" customFormat="1">
      <c r="A609" s="93"/>
      <c r="B609" s="21"/>
      <c r="C609" s="295" t="s">
        <v>1218</v>
      </c>
      <c r="D609" s="1122"/>
      <c r="E609" s="295" t="s">
        <v>1219</v>
      </c>
      <c r="F609" s="1122"/>
      <c r="G609" s="1730"/>
      <c r="H609" s="1721"/>
      <c r="I609" s="1711"/>
      <c r="J609" s="1734"/>
      <c r="K609" s="1711"/>
      <c r="L609" s="1722"/>
      <c r="M609" s="1713"/>
      <c r="N609" s="355"/>
    </row>
    <row r="610" spans="1:14" s="94" customFormat="1" ht="15" thickBot="1">
      <c r="A610" s="93"/>
      <c r="B610" s="21"/>
      <c r="C610" s="294" t="s">
        <v>1220</v>
      </c>
      <c r="D610" s="1123"/>
      <c r="E610" s="295" t="s">
        <v>1221</v>
      </c>
      <c r="F610" s="1122"/>
      <c r="G610" s="1732"/>
      <c r="H610" s="1721"/>
      <c r="I610" s="1712"/>
      <c r="J610" s="1734"/>
      <c r="K610" s="1711"/>
      <c r="L610" s="1722"/>
      <c r="M610" s="1713"/>
      <c r="N610" s="355"/>
    </row>
    <row r="611" spans="1:14" s="94" customFormat="1" ht="15" thickBot="1">
      <c r="A611" s="93"/>
      <c r="B611" s="21"/>
      <c r="C611" s="237" t="s">
        <v>1222</v>
      </c>
      <c r="D611" s="1121" t="s">
        <v>227</v>
      </c>
      <c r="E611" s="237" t="s">
        <v>1223</v>
      </c>
      <c r="F611" s="1121" t="s">
        <v>108</v>
      </c>
      <c r="G611" s="1177">
        <v>2.4</v>
      </c>
      <c r="H611" s="1194">
        <v>50</v>
      </c>
      <c r="I611" s="1137">
        <v>12.647500000000001</v>
      </c>
      <c r="J611" s="1196">
        <v>29.6</v>
      </c>
      <c r="K611" s="1194">
        <v>99</v>
      </c>
      <c r="L611" s="1283">
        <v>1252.1025</v>
      </c>
      <c r="M611" s="1141">
        <v>2930.4</v>
      </c>
      <c r="N611" s="355"/>
    </row>
    <row r="612" spans="1:14" s="94" customFormat="1">
      <c r="A612" s="93"/>
      <c r="B612" s="21"/>
      <c r="C612" s="298" t="s">
        <v>1224</v>
      </c>
      <c r="D612" s="1122"/>
      <c r="E612" s="298" t="s">
        <v>1225</v>
      </c>
      <c r="F612" s="1122"/>
      <c r="G612" s="1730"/>
      <c r="H612" s="1711"/>
      <c r="I612" s="1711"/>
      <c r="J612" s="1713"/>
      <c r="K612" s="1711"/>
      <c r="L612" s="1722"/>
      <c r="M612" s="1713"/>
      <c r="N612" s="355"/>
    </row>
    <row r="613" spans="1:14" s="94" customFormat="1">
      <c r="A613" s="93"/>
      <c r="B613" s="21"/>
      <c r="C613" s="295" t="s">
        <v>1226</v>
      </c>
      <c r="D613" s="1122"/>
      <c r="E613" s="295" t="s">
        <v>1227</v>
      </c>
      <c r="F613" s="1122"/>
      <c r="G613" s="1730"/>
      <c r="H613" s="1711"/>
      <c r="I613" s="1711"/>
      <c r="J613" s="1713"/>
      <c r="K613" s="1711"/>
      <c r="L613" s="1722"/>
      <c r="M613" s="1713"/>
      <c r="N613" s="355"/>
    </row>
    <row r="614" spans="1:14" s="94" customFormat="1" ht="15" thickBot="1">
      <c r="A614" s="93"/>
      <c r="B614" s="21"/>
      <c r="C614" s="297" t="s">
        <v>1228</v>
      </c>
      <c r="D614" s="1123"/>
      <c r="E614" s="291" t="s">
        <v>1229</v>
      </c>
      <c r="F614" s="1123"/>
      <c r="G614" s="1732"/>
      <c r="H614" s="1712"/>
      <c r="I614" s="1712"/>
      <c r="J614" s="1715"/>
      <c r="K614" s="1712"/>
      <c r="L614" s="1714"/>
      <c r="M614" s="1715"/>
      <c r="N614" s="355"/>
    </row>
    <row r="615" spans="1:14" s="94" customFormat="1" ht="15" thickBot="1">
      <c r="A615" s="93"/>
      <c r="B615" s="21"/>
      <c r="C615" s="292" t="s">
        <v>1230</v>
      </c>
      <c r="D615" s="1121" t="s">
        <v>1231</v>
      </c>
      <c r="E615" s="237" t="s">
        <v>1232</v>
      </c>
      <c r="F615" s="1121" t="s">
        <v>108</v>
      </c>
      <c r="G615" s="1148">
        <v>1.1399999999999999</v>
      </c>
      <c r="H615" s="1194">
        <v>80</v>
      </c>
      <c r="I615" s="1137">
        <v>10</v>
      </c>
      <c r="J615" s="1540">
        <v>26.96</v>
      </c>
      <c r="K615" s="1194">
        <v>90</v>
      </c>
      <c r="L615" s="1213">
        <v>900</v>
      </c>
      <c r="M615" s="1196">
        <v>2426.4</v>
      </c>
      <c r="N615" s="355"/>
    </row>
    <row r="616" spans="1:14" s="94" customFormat="1">
      <c r="A616" s="93"/>
      <c r="B616" s="21"/>
      <c r="C616" s="295" t="s">
        <v>1233</v>
      </c>
      <c r="D616" s="1122"/>
      <c r="E616" s="295" t="s">
        <v>1234</v>
      </c>
      <c r="F616" s="1122"/>
      <c r="G616" s="1730"/>
      <c r="H616" s="1711"/>
      <c r="I616" s="1711"/>
      <c r="J616" s="1734"/>
      <c r="K616" s="1711"/>
      <c r="L616" s="1722"/>
      <c r="M616" s="1713"/>
      <c r="N616" s="355"/>
    </row>
    <row r="617" spans="1:14" s="94" customFormat="1">
      <c r="A617" s="93"/>
      <c r="B617" s="21"/>
      <c r="C617" s="295" t="s">
        <v>1235</v>
      </c>
      <c r="D617" s="1122"/>
      <c r="E617" s="295" t="s">
        <v>1236</v>
      </c>
      <c r="F617" s="1122"/>
      <c r="G617" s="1730"/>
      <c r="H617" s="1711"/>
      <c r="I617" s="1711"/>
      <c r="J617" s="1734"/>
      <c r="K617" s="1711"/>
      <c r="L617" s="1722"/>
      <c r="M617" s="1713"/>
      <c r="N617" s="355"/>
    </row>
    <row r="618" spans="1:14" s="94" customFormat="1">
      <c r="A618" s="93"/>
      <c r="B618" s="21"/>
      <c r="C618" s="294" t="s">
        <v>1237</v>
      </c>
      <c r="D618" s="1122"/>
      <c r="E618" s="295" t="s">
        <v>1238</v>
      </c>
      <c r="F618" s="1122"/>
      <c r="G618" s="1730"/>
      <c r="H618" s="1711"/>
      <c r="I618" s="1711"/>
      <c r="J618" s="1734"/>
      <c r="K618" s="1711"/>
      <c r="L618" s="1722"/>
      <c r="M618" s="1713"/>
      <c r="N618" s="355"/>
    </row>
    <row r="619" spans="1:14" s="94" customFormat="1">
      <c r="A619" s="93"/>
      <c r="B619" s="21"/>
      <c r="C619" s="295" t="s">
        <v>1239</v>
      </c>
      <c r="D619" s="1122"/>
      <c r="E619" s="294" t="s">
        <v>1240</v>
      </c>
      <c r="F619" s="1122"/>
      <c r="G619" s="1730"/>
      <c r="H619" s="1711"/>
      <c r="I619" s="1711"/>
      <c r="J619" s="1734"/>
      <c r="K619" s="1711"/>
      <c r="L619" s="1722"/>
      <c r="M619" s="1713"/>
      <c r="N619" s="355"/>
    </row>
    <row r="620" spans="1:14" s="94" customFormat="1">
      <c r="A620" s="93"/>
      <c r="B620" s="21"/>
      <c r="C620" s="295" t="s">
        <v>1241</v>
      </c>
      <c r="D620" s="1122"/>
      <c r="E620" s="296" t="s">
        <v>1242</v>
      </c>
      <c r="F620" s="1122"/>
      <c r="G620" s="1731"/>
      <c r="H620" s="1711"/>
      <c r="I620" s="1711"/>
      <c r="J620" s="1734"/>
      <c r="K620" s="1711"/>
      <c r="L620" s="1722"/>
      <c r="M620" s="1713"/>
      <c r="N620" s="355"/>
    </row>
    <row r="621" spans="1:14" s="94" customFormat="1">
      <c r="A621" s="93"/>
      <c r="B621" s="21"/>
      <c r="C621" s="295" t="s">
        <v>1243</v>
      </c>
      <c r="D621" s="1122"/>
      <c r="E621" s="295" t="s">
        <v>1244</v>
      </c>
      <c r="F621" s="1122"/>
      <c r="G621" s="1355">
        <v>1.86</v>
      </c>
      <c r="H621" s="1711"/>
      <c r="I621" s="1711"/>
      <c r="J621" s="1734"/>
      <c r="K621" s="1711"/>
      <c r="L621" s="1722"/>
      <c r="M621" s="1713"/>
      <c r="N621" s="355"/>
    </row>
    <row r="622" spans="1:14" s="94" customFormat="1">
      <c r="A622" s="93"/>
      <c r="B622" s="21"/>
      <c r="C622" s="295" t="s">
        <v>1245</v>
      </c>
      <c r="D622" s="1122"/>
      <c r="E622" s="295" t="s">
        <v>1246</v>
      </c>
      <c r="F622" s="1122"/>
      <c r="G622" s="1730"/>
      <c r="H622" s="1711"/>
      <c r="I622" s="1711"/>
      <c r="J622" s="1734"/>
      <c r="K622" s="1711"/>
      <c r="L622" s="1722"/>
      <c r="M622" s="1713"/>
      <c r="N622" s="355"/>
    </row>
    <row r="623" spans="1:14" s="94" customFormat="1">
      <c r="A623" s="93"/>
      <c r="B623" s="21"/>
      <c r="C623" s="294" t="s">
        <v>1247</v>
      </c>
      <c r="D623" s="1122"/>
      <c r="E623" s="295" t="s">
        <v>1248</v>
      </c>
      <c r="F623" s="1122"/>
      <c r="G623" s="1731"/>
      <c r="H623" s="1711"/>
      <c r="I623" s="1711"/>
      <c r="J623" s="1734"/>
      <c r="K623" s="1711"/>
      <c r="L623" s="1722"/>
      <c r="M623" s="1713"/>
      <c r="N623" s="355"/>
    </row>
    <row r="624" spans="1:14" s="94" customFormat="1">
      <c r="A624" s="93"/>
      <c r="B624" s="21"/>
      <c r="C624" s="295" t="s">
        <v>1249</v>
      </c>
      <c r="D624" s="1122"/>
      <c r="E624" s="294" t="s">
        <v>1250</v>
      </c>
      <c r="F624" s="1122"/>
      <c r="G624" s="563">
        <v>2.1</v>
      </c>
      <c r="H624" s="1711"/>
      <c r="I624" s="1711"/>
      <c r="J624" s="1734"/>
      <c r="K624" s="1711"/>
      <c r="L624" s="1722"/>
      <c r="M624" s="1713"/>
      <c r="N624" s="355"/>
    </row>
    <row r="625" spans="1:14" s="94" customFormat="1" ht="15" thickBot="1">
      <c r="A625" s="93"/>
      <c r="B625" s="21"/>
      <c r="C625" s="291" t="s">
        <v>1251</v>
      </c>
      <c r="D625" s="1123"/>
      <c r="E625" s="297" t="s">
        <v>1252</v>
      </c>
      <c r="F625" s="1123"/>
      <c r="G625" s="561">
        <v>3</v>
      </c>
      <c r="H625" s="1712"/>
      <c r="I625" s="1712"/>
      <c r="J625" s="1735"/>
      <c r="K625" s="1712"/>
      <c r="L625" s="1714"/>
      <c r="M625" s="1715"/>
      <c r="N625" s="355"/>
    </row>
    <row r="626" spans="1:14" s="94" customFormat="1" ht="15" thickBot="1">
      <c r="A626" s="93"/>
      <c r="B626" s="21"/>
      <c r="C626" s="237" t="s">
        <v>1253</v>
      </c>
      <c r="D626" s="1190" t="s">
        <v>1254</v>
      </c>
      <c r="E626" s="292" t="s">
        <v>1255</v>
      </c>
      <c r="F626" s="1121" t="s">
        <v>108</v>
      </c>
      <c r="G626" s="1148">
        <v>3</v>
      </c>
      <c r="H626" s="1194">
        <v>20</v>
      </c>
      <c r="I626" s="1194">
        <v>1.25</v>
      </c>
      <c r="J626" s="1246">
        <v>3.02</v>
      </c>
      <c r="K626" s="1194">
        <v>720</v>
      </c>
      <c r="L626" s="1213">
        <v>900</v>
      </c>
      <c r="M626" s="1196">
        <v>2174.4</v>
      </c>
      <c r="N626" s="355"/>
    </row>
    <row r="627" spans="1:14" s="94" customFormat="1">
      <c r="A627" s="93"/>
      <c r="B627" s="21"/>
      <c r="C627" s="294" t="s">
        <v>1256</v>
      </c>
      <c r="D627" s="1191"/>
      <c r="E627" s="296" t="s">
        <v>1257</v>
      </c>
      <c r="F627" s="1122"/>
      <c r="G627" s="1730"/>
      <c r="H627" s="1711"/>
      <c r="I627" s="1711"/>
      <c r="J627" s="1713"/>
      <c r="K627" s="1711"/>
      <c r="L627" s="1722"/>
      <c r="M627" s="1713"/>
      <c r="N627" s="355"/>
    </row>
    <row r="628" spans="1:14" s="94" customFormat="1">
      <c r="A628" s="93"/>
      <c r="B628" s="51"/>
      <c r="C628" s="295" t="s">
        <v>1258</v>
      </c>
      <c r="D628" s="1191"/>
      <c r="E628" s="295" t="s">
        <v>1259</v>
      </c>
      <c r="F628" s="1122"/>
      <c r="G628" s="1730"/>
      <c r="H628" s="1711"/>
      <c r="I628" s="1711"/>
      <c r="J628" s="1713"/>
      <c r="K628" s="1711"/>
      <c r="L628" s="1722"/>
      <c r="M628" s="1713"/>
      <c r="N628" s="355"/>
    </row>
    <row r="629" spans="1:14" s="94" customFormat="1">
      <c r="A629" s="93"/>
      <c r="B629" s="21"/>
      <c r="C629" s="294" t="s">
        <v>1260</v>
      </c>
      <c r="D629" s="1191"/>
      <c r="E629" s="294" t="s">
        <v>1261</v>
      </c>
      <c r="F629" s="1122"/>
      <c r="G629" s="1730"/>
      <c r="H629" s="1711"/>
      <c r="I629" s="1711"/>
      <c r="J629" s="1713"/>
      <c r="K629" s="1711"/>
      <c r="L629" s="1722"/>
      <c r="M629" s="1713"/>
      <c r="N629" s="355"/>
    </row>
    <row r="630" spans="1:14" s="94" customFormat="1">
      <c r="A630" s="93"/>
      <c r="B630" s="21"/>
      <c r="C630" s="295" t="s">
        <v>1262</v>
      </c>
      <c r="D630" s="1191"/>
      <c r="E630" s="295" t="s">
        <v>1263</v>
      </c>
      <c r="F630" s="1122"/>
      <c r="G630" s="1730"/>
      <c r="H630" s="1711"/>
      <c r="I630" s="1711"/>
      <c r="J630" s="1713"/>
      <c r="K630" s="1711"/>
      <c r="L630" s="1722"/>
      <c r="M630" s="1713"/>
      <c r="N630" s="355"/>
    </row>
    <row r="631" spans="1:14" s="94" customFormat="1">
      <c r="A631" s="93"/>
      <c r="B631" s="51"/>
      <c r="C631" s="295" t="s">
        <v>1264</v>
      </c>
      <c r="D631" s="1191"/>
      <c r="E631" s="294" t="s">
        <v>1265</v>
      </c>
      <c r="F631" s="1122"/>
      <c r="G631" s="1731"/>
      <c r="H631" s="1711"/>
      <c r="I631" s="1711"/>
      <c r="J631" s="1713"/>
      <c r="K631" s="1711"/>
      <c r="L631" s="1722"/>
      <c r="M631" s="1713"/>
      <c r="N631" s="355"/>
    </row>
    <row r="632" spans="1:14" s="94" customFormat="1" ht="15" thickBot="1">
      <c r="A632" s="93"/>
      <c r="B632" s="21"/>
      <c r="C632" s="291" t="s">
        <v>1266</v>
      </c>
      <c r="D632" s="1192"/>
      <c r="E632" s="297" t="s">
        <v>1267</v>
      </c>
      <c r="F632" s="1123"/>
      <c r="G632" s="566">
        <v>5.4</v>
      </c>
      <c r="H632" s="1712"/>
      <c r="I632" s="1712"/>
      <c r="J632" s="1715"/>
      <c r="K632" s="1712"/>
      <c r="L632" s="1714"/>
      <c r="M632" s="1715"/>
      <c r="N632" s="355"/>
    </row>
    <row r="633" spans="1:14" s="94" customFormat="1" ht="15" thickBot="1">
      <c r="A633" s="93"/>
      <c r="B633" s="21"/>
      <c r="C633" s="299"/>
      <c r="D633" s="142"/>
      <c r="E633" s="299"/>
      <c r="F633" s="106"/>
      <c r="G633" s="567"/>
      <c r="H633" s="106"/>
      <c r="I633" s="106"/>
      <c r="J633" s="106"/>
      <c r="K633" s="106"/>
      <c r="L633" s="91"/>
      <c r="M633" s="91"/>
      <c r="N633" s="355"/>
    </row>
    <row r="634" spans="1:14" s="94" customFormat="1" ht="31.5" customHeight="1" thickBot="1">
      <c r="A634" s="93"/>
      <c r="B634" s="21"/>
      <c r="C634" s="95" t="s">
        <v>1268</v>
      </c>
      <c r="D634" s="232"/>
      <c r="E634" s="93"/>
      <c r="F634" s="21"/>
      <c r="G634" s="93"/>
      <c r="H634" s="1311" t="s">
        <v>101</v>
      </c>
      <c r="I634" s="1726"/>
      <c r="J634" s="1727"/>
      <c r="K634" s="1311" t="s">
        <v>102</v>
      </c>
      <c r="L634" s="1726"/>
      <c r="M634" s="1727"/>
      <c r="N634" s="355"/>
    </row>
    <row r="635" spans="1:14" s="94" customFormat="1" ht="15" thickBot="1">
      <c r="A635" s="93"/>
      <c r="B635" s="21"/>
      <c r="C635" s="98" t="s">
        <v>103</v>
      </c>
      <c r="D635" s="99" t="s">
        <v>104</v>
      </c>
      <c r="E635" s="98" t="s">
        <v>105</v>
      </c>
      <c r="F635" s="99" t="s">
        <v>106</v>
      </c>
      <c r="G635" s="99" t="s">
        <v>107</v>
      </c>
      <c r="H635" s="997" t="s">
        <v>108</v>
      </c>
      <c r="I635" s="135" t="s">
        <v>109</v>
      </c>
      <c r="J635" s="136" t="s">
        <v>110</v>
      </c>
      <c r="K635" s="137" t="s">
        <v>111</v>
      </c>
      <c r="L635" s="135" t="s">
        <v>109</v>
      </c>
      <c r="M635" s="136" t="s">
        <v>110</v>
      </c>
      <c r="N635" s="355"/>
    </row>
    <row r="636" spans="1:14" s="94" customFormat="1" ht="15" thickBot="1">
      <c r="A636" s="93"/>
      <c r="B636" s="21" t="s">
        <v>326</v>
      </c>
      <c r="C636" s="292" t="s">
        <v>1269</v>
      </c>
      <c r="D636" s="1121" t="s">
        <v>1270</v>
      </c>
      <c r="E636" s="292" t="s">
        <v>1271</v>
      </c>
      <c r="F636" s="1121" t="s">
        <v>108</v>
      </c>
      <c r="G636" s="1148">
        <v>1.1399999999999999</v>
      </c>
      <c r="H636" s="1331">
        <v>80</v>
      </c>
      <c r="I636" s="1137">
        <v>10</v>
      </c>
      <c r="J636" s="1481">
        <v>26.96</v>
      </c>
      <c r="K636" s="1331">
        <v>90</v>
      </c>
      <c r="L636" s="1497">
        <v>900</v>
      </c>
      <c r="M636" s="1138">
        <v>2426.4</v>
      </c>
      <c r="N636" s="355"/>
    </row>
    <row r="637" spans="1:14" s="94" customFormat="1">
      <c r="A637" s="93"/>
      <c r="B637" s="51"/>
      <c r="C637" s="295" t="s">
        <v>1272</v>
      </c>
      <c r="D637" s="1122"/>
      <c r="E637" s="295" t="s">
        <v>1273</v>
      </c>
      <c r="F637" s="1122"/>
      <c r="G637" s="1730"/>
      <c r="H637" s="1711"/>
      <c r="I637" s="1711"/>
      <c r="J637" s="1713"/>
      <c r="K637" s="1711"/>
      <c r="L637" s="1722"/>
      <c r="M637" s="1713"/>
      <c r="N637" s="355"/>
    </row>
    <row r="638" spans="1:14" s="94" customFormat="1">
      <c r="A638" s="93"/>
      <c r="B638" s="21"/>
      <c r="C638" s="295" t="s">
        <v>1274</v>
      </c>
      <c r="D638" s="1122"/>
      <c r="E638" s="295" t="s">
        <v>1275</v>
      </c>
      <c r="F638" s="1122"/>
      <c r="G638" s="1730"/>
      <c r="H638" s="1711"/>
      <c r="I638" s="1711"/>
      <c r="J638" s="1713"/>
      <c r="K638" s="1711"/>
      <c r="L638" s="1722"/>
      <c r="M638" s="1713"/>
      <c r="N638" s="355"/>
    </row>
    <row r="639" spans="1:14" s="94" customFormat="1">
      <c r="A639" s="93"/>
      <c r="B639" s="21"/>
      <c r="C639" s="294" t="s">
        <v>1276</v>
      </c>
      <c r="D639" s="1122"/>
      <c r="E639" s="295" t="s">
        <v>1277</v>
      </c>
      <c r="F639" s="1122"/>
      <c r="G639" s="1730"/>
      <c r="H639" s="1711"/>
      <c r="I639" s="1711"/>
      <c r="J639" s="1713"/>
      <c r="K639" s="1711"/>
      <c r="L639" s="1722"/>
      <c r="M639" s="1713"/>
      <c r="N639" s="355"/>
    </row>
    <row r="640" spans="1:14" s="94" customFormat="1">
      <c r="A640" s="93"/>
      <c r="B640" s="51"/>
      <c r="C640" s="296" t="s">
        <v>1278</v>
      </c>
      <c r="D640" s="1122"/>
      <c r="E640" s="295" t="s">
        <v>1279</v>
      </c>
      <c r="F640" s="1122"/>
      <c r="G640" s="1730"/>
      <c r="H640" s="1711"/>
      <c r="I640" s="1711"/>
      <c r="J640" s="1713"/>
      <c r="K640" s="1711"/>
      <c r="L640" s="1722"/>
      <c r="M640" s="1713"/>
      <c r="N640" s="355"/>
    </row>
    <row r="641" spans="1:14" s="94" customFormat="1">
      <c r="A641" s="93"/>
      <c r="B641" s="21"/>
      <c r="C641" s="296" t="s">
        <v>1280</v>
      </c>
      <c r="D641" s="1122"/>
      <c r="E641" s="294" t="s">
        <v>1281</v>
      </c>
      <c r="F641" s="1122"/>
      <c r="G641" s="1731"/>
      <c r="H641" s="1711"/>
      <c r="I641" s="1711"/>
      <c r="J641" s="1713"/>
      <c r="K641" s="1711"/>
      <c r="L641" s="1722"/>
      <c r="M641" s="1713"/>
      <c r="N641" s="355"/>
    </row>
    <row r="642" spans="1:14" s="94" customFormat="1" ht="15" thickBot="1">
      <c r="A642" s="93"/>
      <c r="B642" s="21"/>
      <c r="C642" s="296" t="s">
        <v>1282</v>
      </c>
      <c r="D642" s="1122"/>
      <c r="E642" s="295" t="s">
        <v>1283</v>
      </c>
      <c r="F642" s="1122"/>
      <c r="G642" s="1301">
        <v>1.8</v>
      </c>
      <c r="H642" s="1711"/>
      <c r="I642" s="1711"/>
      <c r="J642" s="1713"/>
      <c r="K642" s="1711"/>
      <c r="L642" s="1722"/>
      <c r="M642" s="1713"/>
      <c r="N642" s="355"/>
    </row>
    <row r="643" spans="1:14" s="94" customFormat="1">
      <c r="A643" s="93"/>
      <c r="B643" s="51"/>
      <c r="C643" s="296" t="s">
        <v>1284</v>
      </c>
      <c r="D643" s="1122"/>
      <c r="E643" s="295" t="s">
        <v>1285</v>
      </c>
      <c r="F643" s="1122"/>
      <c r="G643" s="1730"/>
      <c r="H643" s="1711"/>
      <c r="I643" s="1711"/>
      <c r="J643" s="1713"/>
      <c r="K643" s="1711"/>
      <c r="L643" s="1722"/>
      <c r="M643" s="1713"/>
      <c r="N643" s="355"/>
    </row>
    <row r="644" spans="1:14" s="94" customFormat="1">
      <c r="A644" s="93"/>
      <c r="B644" s="21"/>
      <c r="C644" s="295" t="s">
        <v>1286</v>
      </c>
      <c r="D644" s="1122"/>
      <c r="E644" s="294" t="s">
        <v>1287</v>
      </c>
      <c r="F644" s="1122"/>
      <c r="G644" s="1730"/>
      <c r="H644" s="1711"/>
      <c r="I644" s="1711"/>
      <c r="J644" s="1713"/>
      <c r="K644" s="1711"/>
      <c r="L644" s="1722"/>
      <c r="M644" s="1713"/>
      <c r="N644" s="355"/>
    </row>
    <row r="645" spans="1:14" s="94" customFormat="1" ht="15" thickBot="1">
      <c r="A645" s="93"/>
      <c r="B645" s="21"/>
      <c r="C645" s="295" t="s">
        <v>1288</v>
      </c>
      <c r="D645" s="1123"/>
      <c r="E645" s="295" t="s">
        <v>1289</v>
      </c>
      <c r="F645" s="1122"/>
      <c r="G645" s="1732"/>
      <c r="H645" s="1711"/>
      <c r="I645" s="1712"/>
      <c r="J645" s="1713"/>
      <c r="K645" s="1711"/>
      <c r="L645" s="1722"/>
      <c r="M645" s="1713"/>
      <c r="N645" s="355"/>
    </row>
    <row r="646" spans="1:14" s="94" customFormat="1" ht="15" thickBot="1">
      <c r="A646" s="93"/>
      <c r="B646" s="51"/>
      <c r="C646" s="239" t="s">
        <v>1290</v>
      </c>
      <c r="D646" s="423" t="s">
        <v>1291</v>
      </c>
      <c r="E646" s="239" t="s">
        <v>1292</v>
      </c>
      <c r="F646" s="423" t="s">
        <v>108</v>
      </c>
      <c r="G646" s="568">
        <v>2.1</v>
      </c>
      <c r="H646" s="424">
        <v>36</v>
      </c>
      <c r="I646" s="425">
        <v>6.9749999999999996</v>
      </c>
      <c r="J646" s="426">
        <v>18.468</v>
      </c>
      <c r="K646" s="424">
        <v>128</v>
      </c>
      <c r="L646" s="143">
        <v>892.8</v>
      </c>
      <c r="M646" s="144">
        <v>2363.9</v>
      </c>
      <c r="N646" s="355"/>
    </row>
    <row r="647" spans="1:14" s="94" customFormat="1" ht="15" thickBot="1">
      <c r="A647" s="93"/>
      <c r="B647" s="21"/>
      <c r="C647" s="237" t="s">
        <v>1293</v>
      </c>
      <c r="D647" s="1190" t="s">
        <v>1294</v>
      </c>
      <c r="E647" s="292" t="s">
        <v>1295</v>
      </c>
      <c r="F647" s="1121" t="s">
        <v>108</v>
      </c>
      <c r="G647" s="1177">
        <v>3.42</v>
      </c>
      <c r="H647" s="1331">
        <v>23</v>
      </c>
      <c r="I647" s="1137">
        <v>11.0169</v>
      </c>
      <c r="J647" s="1481">
        <v>28.75</v>
      </c>
      <c r="K647" s="1331">
        <v>72</v>
      </c>
      <c r="L647" s="1497">
        <v>793.21680000000003</v>
      </c>
      <c r="M647" s="1138">
        <v>2070</v>
      </c>
      <c r="N647" s="355"/>
    </row>
    <row r="648" spans="1:14" s="94" customFormat="1">
      <c r="A648" s="93"/>
      <c r="B648" s="21"/>
      <c r="C648" s="294" t="s">
        <v>1296</v>
      </c>
      <c r="D648" s="1191"/>
      <c r="E648" s="296" t="s">
        <v>1297</v>
      </c>
      <c r="F648" s="1122"/>
      <c r="G648" s="1730"/>
      <c r="H648" s="1711"/>
      <c r="I648" s="1711"/>
      <c r="J648" s="1713"/>
      <c r="K648" s="1711"/>
      <c r="L648" s="1722"/>
      <c r="M648" s="1713"/>
      <c r="N648" s="355"/>
    </row>
    <row r="649" spans="1:14" s="94" customFormat="1">
      <c r="A649" s="93"/>
      <c r="B649" s="51"/>
      <c r="C649" s="295" t="s">
        <v>1298</v>
      </c>
      <c r="D649" s="1191"/>
      <c r="E649" s="296" t="s">
        <v>1299</v>
      </c>
      <c r="F649" s="1122"/>
      <c r="G649" s="1730"/>
      <c r="H649" s="1711"/>
      <c r="I649" s="1711"/>
      <c r="J649" s="1713"/>
      <c r="K649" s="1711"/>
      <c r="L649" s="1722"/>
      <c r="M649" s="1713"/>
      <c r="N649" s="355"/>
    </row>
    <row r="650" spans="1:14" s="94" customFormat="1">
      <c r="A650" s="93"/>
      <c r="B650" s="21"/>
      <c r="C650" s="294" t="s">
        <v>1300</v>
      </c>
      <c r="D650" s="1191"/>
      <c r="E650" s="296" t="s">
        <v>1301</v>
      </c>
      <c r="F650" s="1122"/>
      <c r="G650" s="1730"/>
      <c r="H650" s="1711"/>
      <c r="I650" s="1711"/>
      <c r="J650" s="1713"/>
      <c r="K650" s="1711"/>
      <c r="L650" s="1722"/>
      <c r="M650" s="1713"/>
      <c r="N650" s="355"/>
    </row>
    <row r="651" spans="1:14" s="94" customFormat="1">
      <c r="A651" s="93"/>
      <c r="B651" s="21"/>
      <c r="C651" s="295" t="s">
        <v>1302</v>
      </c>
      <c r="D651" s="1191"/>
      <c r="E651" s="295" t="s">
        <v>1303</v>
      </c>
      <c r="F651" s="1122"/>
      <c r="G651" s="1730"/>
      <c r="H651" s="1711"/>
      <c r="I651" s="1711"/>
      <c r="J651" s="1713"/>
      <c r="K651" s="1711"/>
      <c r="L651" s="1722"/>
      <c r="M651" s="1713"/>
      <c r="N651" s="355"/>
    </row>
    <row r="652" spans="1:14" s="94" customFormat="1" ht="15" thickBot="1">
      <c r="A652" s="93"/>
      <c r="B652" s="51"/>
      <c r="C652" s="296" t="s">
        <v>1304</v>
      </c>
      <c r="D652" s="1192"/>
      <c r="E652" s="294" t="s">
        <v>1305</v>
      </c>
      <c r="F652" s="1122"/>
      <c r="G652" s="1732"/>
      <c r="H652" s="1711"/>
      <c r="I652" s="1712"/>
      <c r="J652" s="1713"/>
      <c r="K652" s="1711"/>
      <c r="L652" s="1722"/>
      <c r="M652" s="1713"/>
      <c r="N652" s="355"/>
    </row>
    <row r="653" spans="1:14" s="94" customFormat="1" ht="14.45" customHeight="1" thickBot="1">
      <c r="A653" s="93"/>
      <c r="B653" s="51"/>
      <c r="C653" s="237" t="s">
        <v>1306</v>
      </c>
      <c r="D653" s="1190" t="s">
        <v>1307</v>
      </c>
      <c r="E653" s="292" t="s">
        <v>1308</v>
      </c>
      <c r="F653" s="1121" t="s">
        <v>108</v>
      </c>
      <c r="G653" s="1177">
        <v>1.32</v>
      </c>
      <c r="H653" s="1194">
        <v>80</v>
      </c>
      <c r="I653" s="1137">
        <v>10</v>
      </c>
      <c r="J653" s="1246">
        <v>26.08</v>
      </c>
      <c r="K653" s="1194">
        <v>78</v>
      </c>
      <c r="L653" s="1213">
        <v>780</v>
      </c>
      <c r="M653" s="1196">
        <v>2034.24</v>
      </c>
      <c r="N653" s="355"/>
    </row>
    <row r="654" spans="1:14" s="94" customFormat="1">
      <c r="A654" s="93"/>
      <c r="B654" s="51"/>
      <c r="C654" s="296" t="s">
        <v>1309</v>
      </c>
      <c r="D654" s="1191"/>
      <c r="E654" s="295" t="s">
        <v>1310</v>
      </c>
      <c r="F654" s="1122"/>
      <c r="G654" s="1730"/>
      <c r="H654" s="1711"/>
      <c r="I654" s="1711"/>
      <c r="J654" s="1713"/>
      <c r="K654" s="1711"/>
      <c r="L654" s="1722"/>
      <c r="M654" s="1713"/>
      <c r="N654" s="355"/>
    </row>
    <row r="655" spans="1:14" s="94" customFormat="1" ht="15" thickBot="1">
      <c r="A655" s="93"/>
      <c r="B655" s="21"/>
      <c r="C655" s="297" t="s">
        <v>1311</v>
      </c>
      <c r="D655" s="1192"/>
      <c r="E655" s="297" t="s">
        <v>1312</v>
      </c>
      <c r="F655" s="1123"/>
      <c r="G655" s="1732"/>
      <c r="H655" s="1712"/>
      <c r="I655" s="1712"/>
      <c r="J655" s="1715"/>
      <c r="K655" s="1712"/>
      <c r="L655" s="1714"/>
      <c r="M655" s="1715"/>
      <c r="N655" s="355"/>
    </row>
    <row r="656" spans="1:14" s="94" customFormat="1" ht="15" thickBot="1">
      <c r="A656" s="93"/>
      <c r="B656" s="21"/>
      <c r="C656" s="882"/>
      <c r="D656" s="142"/>
      <c r="E656" s="299"/>
      <c r="F656" s="106"/>
      <c r="G656" s="567"/>
      <c r="H656" s="106"/>
      <c r="I656" s="91"/>
      <c r="J656" s="106"/>
      <c r="K656" s="106"/>
      <c r="L656" s="91"/>
      <c r="M656" s="91"/>
      <c r="N656" s="355"/>
    </row>
    <row r="657" spans="1:14" s="94" customFormat="1" ht="31.5" customHeight="1" thickBot="1">
      <c r="A657" s="93"/>
      <c r="B657" s="21"/>
      <c r="C657" s="95" t="s">
        <v>1313</v>
      </c>
      <c r="D657" s="232"/>
      <c r="E657" s="93"/>
      <c r="F657" s="21"/>
      <c r="G657" s="93"/>
      <c r="H657" s="1311" t="s">
        <v>101</v>
      </c>
      <c r="I657" s="1726"/>
      <c r="J657" s="1727"/>
      <c r="K657" s="1311" t="s">
        <v>102</v>
      </c>
      <c r="L657" s="1726"/>
      <c r="M657" s="1727"/>
      <c r="N657" s="355"/>
    </row>
    <row r="658" spans="1:14" s="94" customFormat="1" ht="15" thickBot="1">
      <c r="A658" s="93"/>
      <c r="B658" s="21"/>
      <c r="C658" s="98" t="s">
        <v>103</v>
      </c>
      <c r="D658" s="99" t="s">
        <v>104</v>
      </c>
      <c r="E658" s="98" t="s">
        <v>105</v>
      </c>
      <c r="F658" s="99" t="s">
        <v>106</v>
      </c>
      <c r="G658" s="99" t="s">
        <v>107</v>
      </c>
      <c r="H658" s="997" t="s">
        <v>108</v>
      </c>
      <c r="I658" s="135" t="s">
        <v>109</v>
      </c>
      <c r="J658" s="136" t="s">
        <v>110</v>
      </c>
      <c r="K658" s="137" t="s">
        <v>111</v>
      </c>
      <c r="L658" s="135" t="s">
        <v>109</v>
      </c>
      <c r="M658" s="136" t="s">
        <v>110</v>
      </c>
      <c r="N658" s="355"/>
    </row>
    <row r="659" spans="1:14" s="94" customFormat="1" ht="14.25" customHeight="1" thickBot="1">
      <c r="A659" s="93"/>
      <c r="B659" s="21" t="s">
        <v>326</v>
      </c>
      <c r="C659" s="237" t="s">
        <v>1314</v>
      </c>
      <c r="D659" s="1190" t="s">
        <v>1315</v>
      </c>
      <c r="E659" s="237" t="s">
        <v>1316</v>
      </c>
      <c r="F659" s="1121" t="s">
        <v>108</v>
      </c>
      <c r="G659" s="1148">
        <v>1.8</v>
      </c>
      <c r="H659" s="1194">
        <v>12</v>
      </c>
      <c r="I659" s="1137">
        <v>9</v>
      </c>
      <c r="J659" s="1246">
        <v>4.0199999999999996</v>
      </c>
      <c r="K659" s="1194">
        <v>288</v>
      </c>
      <c r="L659" s="1213">
        <v>648</v>
      </c>
      <c r="M659" s="1196">
        <v>1157.76</v>
      </c>
      <c r="N659" s="355"/>
    </row>
    <row r="660" spans="1:14" s="94" customFormat="1">
      <c r="A660" s="93"/>
      <c r="B660" s="51"/>
      <c r="C660" s="298" t="s">
        <v>1317</v>
      </c>
      <c r="D660" s="1191"/>
      <c r="E660" s="298" t="s">
        <v>1318</v>
      </c>
      <c r="F660" s="1122"/>
      <c r="G660" s="1730"/>
      <c r="H660" s="1711"/>
      <c r="I660" s="1711"/>
      <c r="J660" s="1713"/>
      <c r="K660" s="1711"/>
      <c r="L660" s="1722"/>
      <c r="M660" s="1713"/>
      <c r="N660" s="355"/>
    </row>
    <row r="661" spans="1:14" s="94" customFormat="1">
      <c r="A661" s="93"/>
      <c r="B661" s="21"/>
      <c r="C661" s="298" t="s">
        <v>1319</v>
      </c>
      <c r="D661" s="1191"/>
      <c r="E661" s="294" t="s">
        <v>1320</v>
      </c>
      <c r="F661" s="1122"/>
      <c r="G661" s="1730"/>
      <c r="H661" s="1711"/>
      <c r="I661" s="1711"/>
      <c r="J661" s="1713"/>
      <c r="K661" s="1711"/>
      <c r="L661" s="1722"/>
      <c r="M661" s="1713"/>
      <c r="N661" s="355"/>
    </row>
    <row r="662" spans="1:14" s="94" customFormat="1">
      <c r="A662" s="93"/>
      <c r="B662" s="21"/>
      <c r="C662" s="298" t="s">
        <v>1321</v>
      </c>
      <c r="D662" s="1191"/>
      <c r="E662" s="295" t="s">
        <v>1322</v>
      </c>
      <c r="F662" s="1122"/>
      <c r="G662" s="1730"/>
      <c r="H662" s="1711"/>
      <c r="I662" s="1711"/>
      <c r="J662" s="1713"/>
      <c r="K662" s="1711"/>
      <c r="L662" s="1722"/>
      <c r="M662" s="1713"/>
      <c r="N662" s="355"/>
    </row>
    <row r="663" spans="1:14" s="94" customFormat="1">
      <c r="A663" s="93"/>
      <c r="B663" s="21"/>
      <c r="C663" s="295" t="s">
        <v>1323</v>
      </c>
      <c r="D663" s="1191"/>
      <c r="E663" s="295" t="s">
        <v>1324</v>
      </c>
      <c r="F663" s="1122"/>
      <c r="G663" s="1731"/>
      <c r="H663" s="1711"/>
      <c r="I663" s="1711"/>
      <c r="J663" s="1713"/>
      <c r="K663" s="1711"/>
      <c r="L663" s="1722"/>
      <c r="M663" s="1713"/>
      <c r="N663" s="355"/>
    </row>
    <row r="664" spans="1:14" s="94" customFormat="1" ht="15" thickBot="1">
      <c r="A664" s="93"/>
      <c r="B664" s="21"/>
      <c r="C664" s="297" t="s">
        <v>1325</v>
      </c>
      <c r="D664" s="1192"/>
      <c r="E664" s="297" t="s">
        <v>1326</v>
      </c>
      <c r="F664" s="1123"/>
      <c r="G664" s="569">
        <v>3.3</v>
      </c>
      <c r="H664" s="1712"/>
      <c r="I664" s="1712"/>
      <c r="J664" s="1715"/>
      <c r="K664" s="1712"/>
      <c r="L664" s="1714"/>
      <c r="M664" s="1715"/>
      <c r="N664" s="355"/>
    </row>
    <row r="665" spans="1:14" s="94" customFormat="1" ht="14.45" customHeight="1">
      <c r="A665" s="93"/>
      <c r="B665" s="51"/>
      <c r="C665" s="292" t="s">
        <v>1327</v>
      </c>
      <c r="D665" s="1190" t="s">
        <v>1328</v>
      </c>
      <c r="E665" s="292" t="s">
        <v>1329</v>
      </c>
      <c r="F665" s="1121" t="s">
        <v>108</v>
      </c>
      <c r="G665" s="1148">
        <v>0.78</v>
      </c>
      <c r="H665" s="1115">
        <v>80</v>
      </c>
      <c r="I665" s="1327">
        <v>10</v>
      </c>
      <c r="J665" s="1156">
        <v>26.56</v>
      </c>
      <c r="K665" s="1115">
        <v>78</v>
      </c>
      <c r="L665" s="1235">
        <v>780</v>
      </c>
      <c r="M665" s="1294">
        <v>2071.6799999999998</v>
      </c>
      <c r="N665" s="355"/>
    </row>
    <row r="666" spans="1:14" s="94" customFormat="1">
      <c r="A666" s="93"/>
      <c r="B666" s="21"/>
      <c r="C666" s="295" t="s">
        <v>1330</v>
      </c>
      <c r="D666" s="1191"/>
      <c r="E666" s="295" t="s">
        <v>1331</v>
      </c>
      <c r="F666" s="1122"/>
      <c r="G666" s="1730"/>
      <c r="H666" s="1711"/>
      <c r="I666" s="1711"/>
      <c r="J666" s="1713"/>
      <c r="K666" s="1711"/>
      <c r="L666" s="1722"/>
      <c r="M666" s="1713"/>
      <c r="N666" s="355"/>
    </row>
    <row r="667" spans="1:14" s="94" customFormat="1">
      <c r="A667" s="93"/>
      <c r="B667" s="21"/>
      <c r="C667" s="295" t="s">
        <v>1332</v>
      </c>
      <c r="D667" s="1191"/>
      <c r="E667" s="295" t="s">
        <v>1333</v>
      </c>
      <c r="F667" s="1122"/>
      <c r="G667" s="1730"/>
      <c r="H667" s="1711"/>
      <c r="I667" s="1711"/>
      <c r="J667" s="1713"/>
      <c r="K667" s="1711"/>
      <c r="L667" s="1722"/>
      <c r="M667" s="1713"/>
      <c r="N667" s="355"/>
    </row>
    <row r="668" spans="1:14" s="94" customFormat="1">
      <c r="A668" s="93"/>
      <c r="B668" s="51"/>
      <c r="C668" s="295" t="s">
        <v>1334</v>
      </c>
      <c r="D668" s="1191"/>
      <c r="E668" s="295" t="s">
        <v>1335</v>
      </c>
      <c r="F668" s="1122"/>
      <c r="G668" s="1730"/>
      <c r="H668" s="1711"/>
      <c r="I668" s="1711"/>
      <c r="J668" s="1713"/>
      <c r="K668" s="1711"/>
      <c r="L668" s="1722"/>
      <c r="M668" s="1713"/>
      <c r="N668" s="355"/>
    </row>
    <row r="669" spans="1:14" s="94" customFormat="1">
      <c r="A669" s="93"/>
      <c r="B669" s="21"/>
      <c r="C669" s="295" t="s">
        <v>1336</v>
      </c>
      <c r="D669" s="1191"/>
      <c r="E669" s="295" t="s">
        <v>1337</v>
      </c>
      <c r="F669" s="1122"/>
      <c r="G669" s="1730"/>
      <c r="H669" s="1711"/>
      <c r="I669" s="1711"/>
      <c r="J669" s="1713"/>
      <c r="K669" s="1711"/>
      <c r="L669" s="1722"/>
      <c r="M669" s="1713"/>
      <c r="N669" s="355"/>
    </row>
    <row r="670" spans="1:14" s="94" customFormat="1">
      <c r="A670" s="93"/>
      <c r="B670" s="21"/>
      <c r="C670" s="295" t="s">
        <v>1338</v>
      </c>
      <c r="D670" s="1191"/>
      <c r="E670" s="295" t="s">
        <v>1339</v>
      </c>
      <c r="F670" s="1122"/>
      <c r="G670" s="1731"/>
      <c r="H670" s="1724"/>
      <c r="I670" s="1724"/>
      <c r="J670" s="1725"/>
      <c r="K670" s="1724"/>
      <c r="L670" s="1678"/>
      <c r="M670" s="1725"/>
      <c r="N670" s="355"/>
    </row>
    <row r="671" spans="1:14" s="94" customFormat="1" ht="15" thickBot="1">
      <c r="A671" s="93"/>
      <c r="B671" s="21"/>
      <c r="C671" s="295" t="s">
        <v>1340</v>
      </c>
      <c r="D671" s="1192"/>
      <c r="E671" s="295" t="s">
        <v>1341</v>
      </c>
      <c r="F671" s="1122"/>
      <c r="G671" s="570">
        <v>1.44</v>
      </c>
      <c r="H671" s="535">
        <v>80</v>
      </c>
      <c r="I671" s="536">
        <v>10</v>
      </c>
      <c r="J671" s="537">
        <v>26.56</v>
      </c>
      <c r="K671" s="535">
        <v>78</v>
      </c>
      <c r="L671" s="536">
        <v>780</v>
      </c>
      <c r="M671" s="538">
        <v>2071.6799999999998</v>
      </c>
      <c r="N671" s="355"/>
    </row>
    <row r="672" spans="1:14" s="94" customFormat="1" ht="14.25" customHeight="1" thickBot="1">
      <c r="A672" s="93"/>
      <c r="B672" s="21"/>
      <c r="C672" s="292" t="s">
        <v>1342</v>
      </c>
      <c r="D672" s="1190" t="s">
        <v>1343</v>
      </c>
      <c r="E672" s="292" t="s">
        <v>1344</v>
      </c>
      <c r="F672" s="1121" t="s">
        <v>108</v>
      </c>
      <c r="G672" s="1177">
        <v>1.5</v>
      </c>
      <c r="H672" s="1331">
        <v>12</v>
      </c>
      <c r="I672" s="1137">
        <v>1.5</v>
      </c>
      <c r="J672" s="1138">
        <v>4.2119999999999997</v>
      </c>
      <c r="K672" s="1194">
        <v>144</v>
      </c>
      <c r="L672" s="1213">
        <v>216</v>
      </c>
      <c r="M672" s="1246">
        <v>606.53</v>
      </c>
      <c r="N672" s="355"/>
    </row>
    <row r="673" spans="1:14" s="94" customFormat="1" ht="15" thickBot="1">
      <c r="A673" s="93"/>
      <c r="B673" s="21"/>
      <c r="C673" s="297" t="s">
        <v>1345</v>
      </c>
      <c r="D673" s="1192"/>
      <c r="E673" s="297" t="s">
        <v>1346</v>
      </c>
      <c r="F673" s="1122"/>
      <c r="G673" s="1730"/>
      <c r="H673" s="1711"/>
      <c r="I673" s="1711"/>
      <c r="J673" s="1713"/>
      <c r="K673" s="1711"/>
      <c r="L673" s="1722"/>
      <c r="M673" s="1713"/>
      <c r="N673" s="355"/>
    </row>
    <row r="674" spans="1:14" s="94" customFormat="1" ht="14.25" customHeight="1">
      <c r="A674" s="93"/>
      <c r="B674" s="51"/>
      <c r="C674" s="292" t="s">
        <v>1347</v>
      </c>
      <c r="D674" s="1190" t="s">
        <v>1348</v>
      </c>
      <c r="E674" s="292" t="s">
        <v>1349</v>
      </c>
      <c r="F674" s="1122"/>
      <c r="G674" s="1730"/>
      <c r="H674" s="1711"/>
      <c r="I674" s="1711"/>
      <c r="J674" s="1713"/>
      <c r="K674" s="1711"/>
      <c r="L674" s="1722"/>
      <c r="M674" s="1713"/>
      <c r="N674" s="355"/>
    </row>
    <row r="675" spans="1:14" s="94" customFormat="1" ht="15" thickBot="1">
      <c r="A675" s="93"/>
      <c r="B675" s="21"/>
      <c r="C675" s="296" t="s">
        <v>1350</v>
      </c>
      <c r="D675" s="1192"/>
      <c r="E675" s="297" t="s">
        <v>1351</v>
      </c>
      <c r="F675" s="1123"/>
      <c r="G675" s="1732"/>
      <c r="H675" s="1711"/>
      <c r="I675" s="1712"/>
      <c r="J675" s="1713"/>
      <c r="K675" s="1712"/>
      <c r="L675" s="1714"/>
      <c r="M675" s="1715"/>
      <c r="N675" s="355"/>
    </row>
    <row r="676" spans="1:14" s="94" customFormat="1" ht="15" thickBot="1">
      <c r="A676" s="93"/>
      <c r="B676" s="21"/>
      <c r="C676" s="237" t="s">
        <v>1352</v>
      </c>
      <c r="D676" s="1190" t="s">
        <v>1353</v>
      </c>
      <c r="E676" s="237" t="s">
        <v>1354</v>
      </c>
      <c r="F676" s="1320" t="s">
        <v>108</v>
      </c>
      <c r="G676" s="1177">
        <v>0.96</v>
      </c>
      <c r="H676" s="1115">
        <v>60</v>
      </c>
      <c r="I676" s="1137">
        <v>10</v>
      </c>
      <c r="J676" s="1156">
        <v>26.16</v>
      </c>
      <c r="K676" s="1115">
        <v>80</v>
      </c>
      <c r="L676" s="1235">
        <v>800</v>
      </c>
      <c r="M676" s="1294">
        <v>2092.8000000000002</v>
      </c>
      <c r="N676" s="355"/>
    </row>
    <row r="677" spans="1:14" s="94" customFormat="1">
      <c r="A677" s="93"/>
      <c r="B677" s="51"/>
      <c r="C677" s="295" t="s">
        <v>1355</v>
      </c>
      <c r="D677" s="1191"/>
      <c r="E677" s="295" t="s">
        <v>1356</v>
      </c>
      <c r="F677" s="1401"/>
      <c r="G677" s="1730"/>
      <c r="H677" s="1711"/>
      <c r="I677" s="1711"/>
      <c r="J677" s="1713"/>
      <c r="K677" s="1711"/>
      <c r="L677" s="1722"/>
      <c r="M677" s="1713"/>
      <c r="N677" s="355"/>
    </row>
    <row r="678" spans="1:14" s="94" customFormat="1">
      <c r="A678" s="93"/>
      <c r="B678" s="21"/>
      <c r="C678" s="295" t="s">
        <v>1357</v>
      </c>
      <c r="D678" s="1191"/>
      <c r="E678" s="295" t="s">
        <v>1358</v>
      </c>
      <c r="F678" s="1401"/>
      <c r="G678" s="1730"/>
      <c r="H678" s="1711"/>
      <c r="I678" s="1711"/>
      <c r="J678" s="1713"/>
      <c r="K678" s="1711"/>
      <c r="L678" s="1722"/>
      <c r="M678" s="1713"/>
      <c r="N678" s="355"/>
    </row>
    <row r="679" spans="1:14" s="94" customFormat="1">
      <c r="A679" s="93"/>
      <c r="B679" s="21"/>
      <c r="C679" s="295" t="s">
        <v>1359</v>
      </c>
      <c r="D679" s="1191"/>
      <c r="E679" s="295" t="s">
        <v>1360</v>
      </c>
      <c r="F679" s="1401"/>
      <c r="G679" s="1730"/>
      <c r="H679" s="1711"/>
      <c r="I679" s="1711"/>
      <c r="J679" s="1713"/>
      <c r="K679" s="1711"/>
      <c r="L679" s="1722"/>
      <c r="M679" s="1713"/>
      <c r="N679" s="355"/>
    </row>
    <row r="680" spans="1:14" s="94" customFormat="1">
      <c r="A680" s="93"/>
      <c r="B680" s="51"/>
      <c r="C680" s="295" t="s">
        <v>1361</v>
      </c>
      <c r="D680" s="1191"/>
      <c r="E680" s="295" t="s">
        <v>1362</v>
      </c>
      <c r="F680" s="1401"/>
      <c r="G680" s="1730"/>
      <c r="H680" s="1711"/>
      <c r="I680" s="1711"/>
      <c r="J680" s="1713"/>
      <c r="K680" s="1711"/>
      <c r="L680" s="1722"/>
      <c r="M680" s="1713"/>
      <c r="N680" s="355"/>
    </row>
    <row r="681" spans="1:14" s="94" customFormat="1" ht="15" thickBot="1">
      <c r="A681" s="93"/>
      <c r="B681" s="21"/>
      <c r="C681" s="295" t="s">
        <v>1363</v>
      </c>
      <c r="D681" s="1192"/>
      <c r="E681" s="295" t="s">
        <v>1364</v>
      </c>
      <c r="F681" s="1401"/>
      <c r="G681" s="1732"/>
      <c r="H681" s="1724"/>
      <c r="I681" s="1712"/>
      <c r="J681" s="1725"/>
      <c r="K681" s="1724"/>
      <c r="L681" s="1678"/>
      <c r="M681" s="1725"/>
      <c r="N681" s="355"/>
    </row>
    <row r="682" spans="1:14" s="94" customFormat="1" ht="14.45" customHeight="1" thickBot="1">
      <c r="A682" s="93"/>
      <c r="B682" s="51"/>
      <c r="C682" s="237" t="s">
        <v>1365</v>
      </c>
      <c r="D682" s="1190" t="s">
        <v>1366</v>
      </c>
      <c r="E682" s="237" t="s">
        <v>1367</v>
      </c>
      <c r="F682" s="1121" t="s">
        <v>108</v>
      </c>
      <c r="G682" s="1177">
        <v>3.12</v>
      </c>
      <c r="H682" s="1194">
        <v>6</v>
      </c>
      <c r="I682" s="1137">
        <v>1</v>
      </c>
      <c r="J682" s="1490">
        <v>2.6040000000000001</v>
      </c>
      <c r="K682" s="1194">
        <v>456</v>
      </c>
      <c r="L682" s="1213">
        <v>456</v>
      </c>
      <c r="M682" s="1246">
        <v>1187.42</v>
      </c>
      <c r="N682" s="355"/>
    </row>
    <row r="683" spans="1:14" s="94" customFormat="1">
      <c r="A683" s="93"/>
      <c r="B683" s="21"/>
      <c r="C683" s="295" t="s">
        <v>1368</v>
      </c>
      <c r="D683" s="1191"/>
      <c r="E683" s="295" t="s">
        <v>1369</v>
      </c>
      <c r="F683" s="1122"/>
      <c r="G683" s="1730"/>
      <c r="H683" s="1711"/>
      <c r="I683" s="1711"/>
      <c r="J683" s="1734"/>
      <c r="K683" s="1711"/>
      <c r="L683" s="1722"/>
      <c r="M683" s="1713"/>
      <c r="N683" s="355"/>
    </row>
    <row r="684" spans="1:14" s="94" customFormat="1">
      <c r="A684" s="93"/>
      <c r="B684" s="21"/>
      <c r="C684" s="295" t="s">
        <v>1370</v>
      </c>
      <c r="D684" s="1191"/>
      <c r="E684" s="295" t="s">
        <v>1371</v>
      </c>
      <c r="F684" s="1122"/>
      <c r="G684" s="1730"/>
      <c r="H684" s="1711"/>
      <c r="I684" s="1711"/>
      <c r="J684" s="1734"/>
      <c r="K684" s="1711"/>
      <c r="L684" s="1722"/>
      <c r="M684" s="1713"/>
      <c r="N684" s="355"/>
    </row>
    <row r="685" spans="1:14" s="94" customFormat="1">
      <c r="A685" s="93"/>
      <c r="B685" s="51"/>
      <c r="C685" s="295" t="s">
        <v>1372</v>
      </c>
      <c r="D685" s="1191"/>
      <c r="E685" s="295" t="s">
        <v>1373</v>
      </c>
      <c r="F685" s="1122"/>
      <c r="G685" s="1730"/>
      <c r="H685" s="1711"/>
      <c r="I685" s="1711"/>
      <c r="J685" s="1734"/>
      <c r="K685" s="1711"/>
      <c r="L685" s="1722"/>
      <c r="M685" s="1713"/>
      <c r="N685" s="355"/>
    </row>
    <row r="686" spans="1:14" s="94" customFormat="1">
      <c r="A686" s="93"/>
      <c r="B686" s="21"/>
      <c r="C686" s="295" t="s">
        <v>1374</v>
      </c>
      <c r="D686" s="1191"/>
      <c r="E686" s="295" t="s">
        <v>1375</v>
      </c>
      <c r="F686" s="1122"/>
      <c r="G686" s="1730"/>
      <c r="H686" s="1711"/>
      <c r="I686" s="1711"/>
      <c r="J686" s="1734"/>
      <c r="K686" s="1711"/>
      <c r="L686" s="1722"/>
      <c r="M686" s="1713"/>
      <c r="N686" s="355"/>
    </row>
    <row r="687" spans="1:14" s="94" customFormat="1" ht="15" thickBot="1">
      <c r="A687" s="93"/>
      <c r="B687" s="21"/>
      <c r="C687" s="297" t="s">
        <v>1376</v>
      </c>
      <c r="D687" s="1192"/>
      <c r="E687" s="297" t="s">
        <v>1377</v>
      </c>
      <c r="F687" s="1122"/>
      <c r="G687" s="1730"/>
      <c r="H687" s="1711"/>
      <c r="I687" s="1711"/>
      <c r="J687" s="1734"/>
      <c r="K687" s="1711"/>
      <c r="L687" s="1722"/>
      <c r="M687" s="1713"/>
      <c r="N687" s="355"/>
    </row>
    <row r="688" spans="1:14" s="94" customFormat="1" ht="14.45" customHeight="1">
      <c r="A688" s="93"/>
      <c r="B688" s="51"/>
      <c r="C688" s="237" t="s">
        <v>1378</v>
      </c>
      <c r="D688" s="1190" t="s">
        <v>1379</v>
      </c>
      <c r="E688" s="237" t="s">
        <v>1380</v>
      </c>
      <c r="F688" s="1122"/>
      <c r="G688" s="1730"/>
      <c r="H688" s="1711"/>
      <c r="I688" s="1711"/>
      <c r="J688" s="1734"/>
      <c r="K688" s="1711"/>
      <c r="L688" s="1722"/>
      <c r="M688" s="1713"/>
      <c r="N688" s="355"/>
    </row>
    <row r="689" spans="1:14" s="94" customFormat="1">
      <c r="A689" s="93"/>
      <c r="B689" s="21"/>
      <c r="C689" s="295" t="s">
        <v>1381</v>
      </c>
      <c r="D689" s="1191"/>
      <c r="E689" s="295" t="s">
        <v>1382</v>
      </c>
      <c r="F689" s="1122"/>
      <c r="G689" s="1730"/>
      <c r="H689" s="1711"/>
      <c r="I689" s="1711"/>
      <c r="J689" s="1734"/>
      <c r="K689" s="1711"/>
      <c r="L689" s="1722"/>
      <c r="M689" s="1713"/>
      <c r="N689" s="355"/>
    </row>
    <row r="690" spans="1:14" s="94" customFormat="1">
      <c r="A690" s="93"/>
      <c r="B690" s="21"/>
      <c r="C690" s="295" t="s">
        <v>1383</v>
      </c>
      <c r="D690" s="1191"/>
      <c r="E690" s="295" t="s">
        <v>1384</v>
      </c>
      <c r="F690" s="1122"/>
      <c r="G690" s="1730"/>
      <c r="H690" s="1711"/>
      <c r="I690" s="1711"/>
      <c r="J690" s="1734"/>
      <c r="K690" s="1711"/>
      <c r="L690" s="1722"/>
      <c r="M690" s="1713"/>
      <c r="N690" s="355"/>
    </row>
    <row r="691" spans="1:14" s="94" customFormat="1">
      <c r="A691" s="93"/>
      <c r="B691" s="51"/>
      <c r="C691" s="295" t="s">
        <v>1385</v>
      </c>
      <c r="D691" s="1191"/>
      <c r="E691" s="295" t="s">
        <v>1386</v>
      </c>
      <c r="F691" s="1122"/>
      <c r="G691" s="1730"/>
      <c r="H691" s="1711"/>
      <c r="I691" s="1711"/>
      <c r="J691" s="1734"/>
      <c r="K691" s="1711"/>
      <c r="L691" s="1722"/>
      <c r="M691" s="1713"/>
      <c r="N691" s="355"/>
    </row>
    <row r="692" spans="1:14" s="94" customFormat="1">
      <c r="A692" s="93"/>
      <c r="B692" s="21"/>
      <c r="C692" s="295" t="s">
        <v>1387</v>
      </c>
      <c r="D692" s="1191"/>
      <c r="E692" s="295" t="s">
        <v>1388</v>
      </c>
      <c r="F692" s="1122"/>
      <c r="G692" s="1730"/>
      <c r="H692" s="1711"/>
      <c r="I692" s="1711"/>
      <c r="J692" s="1734"/>
      <c r="K692" s="1711"/>
      <c r="L692" s="1722"/>
      <c r="M692" s="1713"/>
      <c r="N692" s="355"/>
    </row>
    <row r="693" spans="1:14" s="94" customFormat="1" ht="15" thickBot="1">
      <c r="A693" s="93"/>
      <c r="B693" s="21"/>
      <c r="C693" s="297" t="s">
        <v>1389</v>
      </c>
      <c r="D693" s="1192"/>
      <c r="E693" s="297" t="s">
        <v>1390</v>
      </c>
      <c r="F693" s="1123"/>
      <c r="G693" s="1732"/>
      <c r="H693" s="1712"/>
      <c r="I693" s="1712"/>
      <c r="J693" s="1735"/>
      <c r="K693" s="1712"/>
      <c r="L693" s="1714"/>
      <c r="M693" s="1715"/>
      <c r="N693" s="355"/>
    </row>
    <row r="694" spans="1:14" s="94" customFormat="1" ht="15" thickBot="1">
      <c r="A694" s="93"/>
      <c r="B694" s="21"/>
      <c r="C694" s="237" t="s">
        <v>1391</v>
      </c>
      <c r="D694" s="1121" t="s">
        <v>534</v>
      </c>
      <c r="E694" s="237" t="s">
        <v>1392</v>
      </c>
      <c r="F694" s="1121" t="s">
        <v>108</v>
      </c>
      <c r="G694" s="1177">
        <v>4.5</v>
      </c>
      <c r="H694" s="1115">
        <v>16</v>
      </c>
      <c r="I694" s="1137">
        <v>12</v>
      </c>
      <c r="J694" s="1294">
        <v>31.808</v>
      </c>
      <c r="K694" s="1194">
        <v>90</v>
      </c>
      <c r="L694" s="1213">
        <v>1080</v>
      </c>
      <c r="M694" s="1196">
        <v>2862.72</v>
      </c>
      <c r="N694" s="355"/>
    </row>
    <row r="695" spans="1:14" s="94" customFormat="1">
      <c r="A695" s="93"/>
      <c r="B695" s="21"/>
      <c r="C695" s="295" t="s">
        <v>1393</v>
      </c>
      <c r="D695" s="1122"/>
      <c r="E695" s="295" t="s">
        <v>1394</v>
      </c>
      <c r="F695" s="1122"/>
      <c r="G695" s="1730"/>
      <c r="H695" s="1711"/>
      <c r="I695" s="1711"/>
      <c r="J695" s="1713"/>
      <c r="K695" s="1711"/>
      <c r="L695" s="1722"/>
      <c r="M695" s="1713"/>
      <c r="N695" s="355"/>
    </row>
    <row r="696" spans="1:14" s="94" customFormat="1">
      <c r="A696" s="93"/>
      <c r="B696" s="51"/>
      <c r="C696" s="295" t="s">
        <v>1395</v>
      </c>
      <c r="D696" s="1122"/>
      <c r="E696" s="295" t="s">
        <v>1396</v>
      </c>
      <c r="F696" s="1122"/>
      <c r="G696" s="1730"/>
      <c r="H696" s="1711"/>
      <c r="I696" s="1711"/>
      <c r="J696" s="1713"/>
      <c r="K696" s="1711"/>
      <c r="L696" s="1722"/>
      <c r="M696" s="1713"/>
      <c r="N696" s="355"/>
    </row>
    <row r="697" spans="1:14" s="94" customFormat="1" ht="15" thickBot="1">
      <c r="A697" s="93"/>
      <c r="B697" s="21"/>
      <c r="C697" s="297" t="s">
        <v>1397</v>
      </c>
      <c r="D697" s="1123"/>
      <c r="E697" s="297" t="s">
        <v>1398</v>
      </c>
      <c r="F697" s="1123"/>
      <c r="G697" s="1732"/>
      <c r="H697" s="1724"/>
      <c r="I697" s="1712"/>
      <c r="J697" s="1725"/>
      <c r="K697" s="1712"/>
      <c r="L697" s="1714"/>
      <c r="M697" s="1715"/>
      <c r="N697" s="355"/>
    </row>
    <row r="698" spans="1:14" s="94" customFormat="1" ht="15" thickBot="1">
      <c r="A698" s="93"/>
      <c r="B698" s="21"/>
      <c r="C698" s="882"/>
      <c r="D698" s="106"/>
      <c r="E698" s="299"/>
      <c r="F698" s="106"/>
      <c r="G698" s="562"/>
      <c r="H698" s="106"/>
      <c r="I698" s="91"/>
      <c r="J698" s="91"/>
      <c r="K698" s="106"/>
      <c r="L698" s="91"/>
      <c r="M698" s="91"/>
      <c r="N698" s="355"/>
    </row>
    <row r="699" spans="1:14" s="94" customFormat="1" ht="31.5" customHeight="1" thickBot="1">
      <c r="A699" s="93"/>
      <c r="B699" s="21"/>
      <c r="C699" s="95" t="s">
        <v>1399</v>
      </c>
      <c r="D699" s="232"/>
      <c r="E699" s="93"/>
      <c r="F699" s="21"/>
      <c r="G699" s="93"/>
      <c r="H699" s="1311" t="s">
        <v>101</v>
      </c>
      <c r="I699" s="1726"/>
      <c r="J699" s="1727"/>
      <c r="K699" s="1311" t="s">
        <v>102</v>
      </c>
      <c r="L699" s="1726"/>
      <c r="M699" s="1727"/>
      <c r="N699" s="355"/>
    </row>
    <row r="700" spans="1:14" s="94" customFormat="1" ht="15" thickBot="1">
      <c r="A700" s="93"/>
      <c r="B700" s="21"/>
      <c r="C700" s="98" t="s">
        <v>103</v>
      </c>
      <c r="D700" s="99" t="s">
        <v>104</v>
      </c>
      <c r="E700" s="98" t="s">
        <v>105</v>
      </c>
      <c r="F700" s="99" t="s">
        <v>106</v>
      </c>
      <c r="G700" s="99" t="s">
        <v>107</v>
      </c>
      <c r="H700" s="997" t="s">
        <v>108</v>
      </c>
      <c r="I700" s="135" t="s">
        <v>109</v>
      </c>
      <c r="J700" s="136" t="s">
        <v>110</v>
      </c>
      <c r="K700" s="137" t="s">
        <v>111</v>
      </c>
      <c r="L700" s="135" t="s">
        <v>109</v>
      </c>
      <c r="M700" s="136" t="s">
        <v>110</v>
      </c>
      <c r="N700" s="355"/>
    </row>
    <row r="701" spans="1:14" s="94" customFormat="1">
      <c r="A701" s="93"/>
      <c r="B701" s="21" t="s">
        <v>326</v>
      </c>
      <c r="C701" s="111" t="s">
        <v>1400</v>
      </c>
      <c r="D701" s="1121" t="s">
        <v>1401</v>
      </c>
      <c r="E701" s="111" t="s">
        <v>1402</v>
      </c>
      <c r="F701" s="1121" t="s">
        <v>108</v>
      </c>
      <c r="G701" s="1148">
        <v>1.32</v>
      </c>
      <c r="H701" s="1115">
        <v>50</v>
      </c>
      <c r="I701" s="1327">
        <v>12.5</v>
      </c>
      <c r="J701" s="1156">
        <v>32.549999999999997</v>
      </c>
      <c r="K701" s="1115">
        <v>75</v>
      </c>
      <c r="L701" s="1235">
        <v>937.5</v>
      </c>
      <c r="M701" s="1294">
        <v>2441.25</v>
      </c>
      <c r="N701" s="355"/>
    </row>
    <row r="702" spans="1:14" s="94" customFormat="1">
      <c r="A702" s="93"/>
      <c r="B702" s="51"/>
      <c r="C702" s="112" t="s">
        <v>1403</v>
      </c>
      <c r="D702" s="1122"/>
      <c r="E702" s="112" t="s">
        <v>1404</v>
      </c>
      <c r="F702" s="1122"/>
      <c r="G702" s="1730"/>
      <c r="H702" s="1711"/>
      <c r="I702" s="1711"/>
      <c r="J702" s="1713"/>
      <c r="K702" s="1711"/>
      <c r="L702" s="1722"/>
      <c r="M702" s="1713"/>
      <c r="N702" s="355"/>
    </row>
    <row r="703" spans="1:14" s="94" customFormat="1">
      <c r="A703" s="93"/>
      <c r="B703" s="51"/>
      <c r="C703" s="112" t="s">
        <v>1405</v>
      </c>
      <c r="D703" s="1122"/>
      <c r="E703" s="112" t="s">
        <v>1406</v>
      </c>
      <c r="F703" s="1122"/>
      <c r="G703" s="1730"/>
      <c r="H703" s="1711"/>
      <c r="I703" s="1711"/>
      <c r="J703" s="1713"/>
      <c r="K703" s="1711"/>
      <c r="L703" s="1722"/>
      <c r="M703" s="1713"/>
      <c r="N703" s="355"/>
    </row>
    <row r="704" spans="1:14" s="94" customFormat="1">
      <c r="A704" s="93"/>
      <c r="B704" s="21"/>
      <c r="C704" s="112" t="s">
        <v>1407</v>
      </c>
      <c r="D704" s="1122"/>
      <c r="E704" s="112" t="s">
        <v>1408</v>
      </c>
      <c r="F704" s="1122"/>
      <c r="G704" s="1730"/>
      <c r="H704" s="1711"/>
      <c r="I704" s="1711"/>
      <c r="J704" s="1713"/>
      <c r="K704" s="1711"/>
      <c r="L704" s="1722"/>
      <c r="M704" s="1713"/>
      <c r="N704" s="355"/>
    </row>
    <row r="705" spans="1:14" s="94" customFormat="1">
      <c r="A705" s="93"/>
      <c r="B705" s="21"/>
      <c r="C705" s="112" t="s">
        <v>1409</v>
      </c>
      <c r="D705" s="1122"/>
      <c r="E705" s="112" t="s">
        <v>1410</v>
      </c>
      <c r="F705" s="1122"/>
      <c r="G705" s="1730"/>
      <c r="H705" s="1711"/>
      <c r="I705" s="1711"/>
      <c r="J705" s="1713"/>
      <c r="K705" s="1711"/>
      <c r="L705" s="1722"/>
      <c r="M705" s="1713"/>
      <c r="N705" s="355"/>
    </row>
    <row r="706" spans="1:14" s="94" customFormat="1">
      <c r="A706" s="93"/>
      <c r="B706" s="51"/>
      <c r="C706" s="112" t="s">
        <v>1411</v>
      </c>
      <c r="D706" s="1122"/>
      <c r="E706" s="112" t="s">
        <v>1412</v>
      </c>
      <c r="F706" s="1122"/>
      <c r="G706" s="1731"/>
      <c r="H706" s="1724"/>
      <c r="I706" s="1724"/>
      <c r="J706" s="1725"/>
      <c r="K706" s="1724"/>
      <c r="L706" s="1678"/>
      <c r="M706" s="1725"/>
      <c r="N706" s="355"/>
    </row>
    <row r="707" spans="1:14" s="94" customFormat="1" ht="15" thickBot="1">
      <c r="A707" s="93"/>
      <c r="B707" s="21"/>
      <c r="C707" s="139" t="s">
        <v>1413</v>
      </c>
      <c r="D707" s="1123"/>
      <c r="E707" s="64" t="s">
        <v>1414</v>
      </c>
      <c r="F707" s="1123"/>
      <c r="G707" s="566">
        <v>2.4</v>
      </c>
      <c r="H707" s="998">
        <v>50</v>
      </c>
      <c r="I707" s="503">
        <v>12.5</v>
      </c>
      <c r="J707" s="504">
        <v>32.549999999999997</v>
      </c>
      <c r="K707" s="502">
        <v>75</v>
      </c>
      <c r="L707" s="505">
        <v>937.5</v>
      </c>
      <c r="M707" s="506">
        <v>2441.3000000000002</v>
      </c>
      <c r="N707" s="355"/>
    </row>
    <row r="708" spans="1:14" s="94" customFormat="1" ht="15" thickBot="1">
      <c r="A708" s="93"/>
      <c r="B708" s="21"/>
      <c r="C708" s="237" t="s">
        <v>1415</v>
      </c>
      <c r="D708" s="1190" t="s">
        <v>1416</v>
      </c>
      <c r="E708" s="237" t="s">
        <v>1417</v>
      </c>
      <c r="F708" s="1320" t="s">
        <v>108</v>
      </c>
      <c r="G708" s="1148">
        <v>2.1</v>
      </c>
      <c r="H708" s="1161">
        <v>6</v>
      </c>
      <c r="I708" s="1339">
        <v>1.5</v>
      </c>
      <c r="J708" s="1434">
        <v>4.008</v>
      </c>
      <c r="K708" s="1194">
        <v>600</v>
      </c>
      <c r="L708" s="1213">
        <v>900</v>
      </c>
      <c r="M708" s="1196">
        <v>2404.8000000000002</v>
      </c>
      <c r="N708" s="355"/>
    </row>
    <row r="709" spans="1:14" s="94" customFormat="1">
      <c r="A709" s="93"/>
      <c r="B709" s="51"/>
      <c r="C709" s="295" t="s">
        <v>1418</v>
      </c>
      <c r="D709" s="1191"/>
      <c r="E709" s="295" t="s">
        <v>1419</v>
      </c>
      <c r="F709" s="1401"/>
      <c r="G709" s="1730"/>
      <c r="H709" s="1711"/>
      <c r="I709" s="1711"/>
      <c r="J709" s="1713"/>
      <c r="K709" s="1711"/>
      <c r="L709" s="1722"/>
      <c r="M709" s="1713"/>
      <c r="N709" s="355"/>
    </row>
    <row r="710" spans="1:14" s="94" customFormat="1">
      <c r="A710" s="93"/>
      <c r="B710" s="21"/>
      <c r="C710" s="295" t="s">
        <v>1420</v>
      </c>
      <c r="D710" s="1191"/>
      <c r="E710" s="295" t="s">
        <v>1421</v>
      </c>
      <c r="F710" s="1401"/>
      <c r="G710" s="1730"/>
      <c r="H710" s="1711"/>
      <c r="I710" s="1711"/>
      <c r="J710" s="1713"/>
      <c r="K710" s="1711"/>
      <c r="L710" s="1722"/>
      <c r="M710" s="1713"/>
      <c r="N710" s="355"/>
    </row>
    <row r="711" spans="1:14" s="94" customFormat="1">
      <c r="A711" s="93"/>
      <c r="B711" s="51"/>
      <c r="C711" s="295" t="s">
        <v>1422</v>
      </c>
      <c r="D711" s="1191"/>
      <c r="E711" s="295" t="s">
        <v>1423</v>
      </c>
      <c r="F711" s="1401"/>
      <c r="G711" s="1730"/>
      <c r="H711" s="1711"/>
      <c r="I711" s="1711"/>
      <c r="J711" s="1713"/>
      <c r="K711" s="1711"/>
      <c r="L711" s="1722"/>
      <c r="M711" s="1713"/>
      <c r="N711" s="355"/>
    </row>
    <row r="712" spans="1:14" s="94" customFormat="1">
      <c r="A712" s="93"/>
      <c r="B712" s="51"/>
      <c r="C712" s="295" t="s">
        <v>1424</v>
      </c>
      <c r="D712" s="1191"/>
      <c r="E712" s="295" t="s">
        <v>1425</v>
      </c>
      <c r="F712" s="1401"/>
      <c r="G712" s="1731"/>
      <c r="H712" s="1711"/>
      <c r="I712" s="1711"/>
      <c r="J712" s="1713"/>
      <c r="K712" s="1711"/>
      <c r="L712" s="1722"/>
      <c r="M712" s="1713"/>
      <c r="N712" s="355"/>
    </row>
    <row r="713" spans="1:14" s="94" customFormat="1" ht="15" thickBot="1">
      <c r="A713" s="93"/>
      <c r="B713" s="21"/>
      <c r="C713" s="296" t="s">
        <v>1426</v>
      </c>
      <c r="D713" s="1192"/>
      <c r="E713" s="297" t="s">
        <v>1427</v>
      </c>
      <c r="F713" s="1402"/>
      <c r="G713" s="566">
        <v>3.9</v>
      </c>
      <c r="H713" s="1724"/>
      <c r="I713" s="1712"/>
      <c r="J713" s="1725"/>
      <c r="K713" s="1712"/>
      <c r="L713" s="1714"/>
      <c r="M713" s="1715"/>
      <c r="N713" s="355"/>
    </row>
    <row r="714" spans="1:14" s="94" customFormat="1">
      <c r="A714" s="93"/>
      <c r="B714" s="51"/>
      <c r="C714" s="237" t="s">
        <v>1428</v>
      </c>
      <c r="D714" s="1121" t="s">
        <v>1429</v>
      </c>
      <c r="E714" s="296" t="s">
        <v>1430</v>
      </c>
      <c r="F714" s="1121" t="s">
        <v>108</v>
      </c>
      <c r="G714" s="1148">
        <v>2.2799999999999998</v>
      </c>
      <c r="H714" s="145">
        <v>40</v>
      </c>
      <c r="I714" s="146">
        <v>10.333299999999999</v>
      </c>
      <c r="J714" s="427">
        <v>39.28</v>
      </c>
      <c r="K714" s="145">
        <v>48</v>
      </c>
      <c r="L714" s="147">
        <v>496</v>
      </c>
      <c r="M714" s="148">
        <v>1885.44</v>
      </c>
      <c r="N714" s="355"/>
    </row>
    <row r="715" spans="1:14" s="94" customFormat="1" ht="15" thickBot="1">
      <c r="A715" s="93"/>
      <c r="B715" s="21"/>
      <c r="C715" s="298" t="s">
        <v>1431</v>
      </c>
      <c r="D715" s="1122"/>
      <c r="E715" s="295" t="s">
        <v>1432</v>
      </c>
      <c r="F715" s="1122"/>
      <c r="G715" s="1730"/>
      <c r="H715" s="1230">
        <v>40</v>
      </c>
      <c r="I715" s="1433">
        <v>10</v>
      </c>
      <c r="J715" s="1272">
        <v>30.44</v>
      </c>
      <c r="K715" s="1230">
        <v>48</v>
      </c>
      <c r="L715" s="1314">
        <v>480</v>
      </c>
      <c r="M715" s="1572">
        <v>1461.12</v>
      </c>
      <c r="N715" s="355"/>
    </row>
    <row r="716" spans="1:14" s="94" customFormat="1">
      <c r="A716" s="93"/>
      <c r="B716" s="21"/>
      <c r="C716" s="295" t="s">
        <v>1433</v>
      </c>
      <c r="D716" s="1122"/>
      <c r="E716" s="295" t="s">
        <v>1434</v>
      </c>
      <c r="F716" s="1122"/>
      <c r="G716" s="1730"/>
      <c r="H716" s="1711"/>
      <c r="I716" s="1711"/>
      <c r="J716" s="1734"/>
      <c r="K716" s="1711"/>
      <c r="L716" s="1722"/>
      <c r="M716" s="1713"/>
      <c r="N716" s="355"/>
    </row>
    <row r="717" spans="1:14" s="94" customFormat="1">
      <c r="A717" s="93"/>
      <c r="B717" s="51"/>
      <c r="C717" s="295" t="s">
        <v>1435</v>
      </c>
      <c r="D717" s="1122"/>
      <c r="E717" s="295" t="s">
        <v>1436</v>
      </c>
      <c r="F717" s="1122"/>
      <c r="G717" s="1730"/>
      <c r="H717" s="1711"/>
      <c r="I717" s="1711"/>
      <c r="J717" s="1734"/>
      <c r="K717" s="1711"/>
      <c r="L717" s="1722"/>
      <c r="M717" s="1713"/>
      <c r="N717" s="355"/>
    </row>
    <row r="718" spans="1:14" s="94" customFormat="1">
      <c r="A718" s="93"/>
      <c r="B718" s="51"/>
      <c r="C718" s="295" t="s">
        <v>1437</v>
      </c>
      <c r="D718" s="1122"/>
      <c r="E718" s="295" t="s">
        <v>1438</v>
      </c>
      <c r="F718" s="1122"/>
      <c r="G718" s="1730"/>
      <c r="H718" s="1711"/>
      <c r="I718" s="1711"/>
      <c r="J718" s="1734"/>
      <c r="K718" s="1711"/>
      <c r="L718" s="1722"/>
      <c r="M718" s="1713"/>
      <c r="N718" s="355"/>
    </row>
    <row r="719" spans="1:14" s="94" customFormat="1">
      <c r="A719" s="93"/>
      <c r="B719" s="21"/>
      <c r="C719" s="295" t="s">
        <v>1439</v>
      </c>
      <c r="D719" s="1122"/>
      <c r="E719" s="295" t="s">
        <v>1440</v>
      </c>
      <c r="F719" s="1122"/>
      <c r="G719" s="1730"/>
      <c r="H719" s="1711"/>
      <c r="I719" s="1711"/>
      <c r="J719" s="1734"/>
      <c r="K719" s="1711"/>
      <c r="L719" s="1722"/>
      <c r="M719" s="1713"/>
      <c r="N719" s="355"/>
    </row>
    <row r="720" spans="1:14" s="94" customFormat="1">
      <c r="A720" s="93"/>
      <c r="B720" s="21"/>
      <c r="C720" s="295" t="s">
        <v>1441</v>
      </c>
      <c r="D720" s="1122"/>
      <c r="E720" s="295" t="s">
        <v>1442</v>
      </c>
      <c r="F720" s="1122"/>
      <c r="G720" s="1731"/>
      <c r="H720" s="1711"/>
      <c r="I720" s="1711"/>
      <c r="J720" s="1734"/>
      <c r="K720" s="1711"/>
      <c r="L720" s="1722"/>
      <c r="M720" s="1713"/>
      <c r="N720" s="355"/>
    </row>
    <row r="721" spans="1:14" s="94" customFormat="1" ht="15" thickBot="1">
      <c r="A721" s="93"/>
      <c r="B721" s="51"/>
      <c r="C721" s="295" t="s">
        <v>1443</v>
      </c>
      <c r="D721" s="1122"/>
      <c r="E721" s="295" t="s">
        <v>1444</v>
      </c>
      <c r="F721" s="1122"/>
      <c r="G721" s="1301">
        <v>2.4</v>
      </c>
      <c r="H721" s="1711"/>
      <c r="I721" s="1711"/>
      <c r="J721" s="1734"/>
      <c r="K721" s="1711"/>
      <c r="L721" s="1722"/>
      <c r="M721" s="1713"/>
      <c r="N721" s="355"/>
    </row>
    <row r="722" spans="1:14" s="94" customFormat="1" ht="15" thickBot="1">
      <c r="A722" s="93"/>
      <c r="B722" s="51"/>
      <c r="C722" s="297" t="s">
        <v>1445</v>
      </c>
      <c r="D722" s="1123"/>
      <c r="E722" s="297" t="s">
        <v>1446</v>
      </c>
      <c r="F722" s="1123"/>
      <c r="G722" s="1732"/>
      <c r="H722" s="1712"/>
      <c r="I722" s="1712"/>
      <c r="J722" s="1735"/>
      <c r="K722" s="1712"/>
      <c r="L722" s="1714"/>
      <c r="M722" s="1715"/>
      <c r="N722" s="355"/>
    </row>
    <row r="723" spans="1:14" s="94" customFormat="1" ht="14.45" customHeight="1" thickBot="1">
      <c r="A723" s="93"/>
      <c r="B723" s="51"/>
      <c r="C723" s="237" t="s">
        <v>1447</v>
      </c>
      <c r="D723" s="1190" t="s">
        <v>1448</v>
      </c>
      <c r="E723" s="237" t="s">
        <v>1449</v>
      </c>
      <c r="F723" s="1121" t="s">
        <v>108</v>
      </c>
      <c r="G723" s="1177">
        <v>3.3</v>
      </c>
      <c r="H723" s="1229">
        <v>40</v>
      </c>
      <c r="I723" s="1194">
        <v>10</v>
      </c>
      <c r="J723" s="1246">
        <v>24.08</v>
      </c>
      <c r="K723" s="1194">
        <v>48</v>
      </c>
      <c r="L723" s="1423">
        <v>480</v>
      </c>
      <c r="M723" s="1568">
        <v>1155.8399999999999</v>
      </c>
      <c r="N723" s="355"/>
    </row>
    <row r="724" spans="1:14" s="94" customFormat="1">
      <c r="A724" s="93"/>
      <c r="B724" s="21"/>
      <c r="C724" s="295" t="s">
        <v>1450</v>
      </c>
      <c r="D724" s="1191"/>
      <c r="E724" s="295" t="s">
        <v>1451</v>
      </c>
      <c r="F724" s="1122"/>
      <c r="G724" s="1730"/>
      <c r="H724" s="1721"/>
      <c r="I724" s="1711"/>
      <c r="J724" s="1713"/>
      <c r="K724" s="1711"/>
      <c r="L724" s="1722"/>
      <c r="M724" s="1713"/>
      <c r="N724" s="355"/>
    </row>
    <row r="725" spans="1:14" s="94" customFormat="1">
      <c r="A725" s="93"/>
      <c r="B725" s="21"/>
      <c r="C725" s="295" t="s">
        <v>1452</v>
      </c>
      <c r="D725" s="1191"/>
      <c r="E725" s="295" t="s">
        <v>1453</v>
      </c>
      <c r="F725" s="1122"/>
      <c r="G725" s="1730"/>
      <c r="H725" s="1721"/>
      <c r="I725" s="1711"/>
      <c r="J725" s="1713"/>
      <c r="K725" s="1711"/>
      <c r="L725" s="1722"/>
      <c r="M725" s="1713"/>
      <c r="N725" s="355"/>
    </row>
    <row r="726" spans="1:14" s="94" customFormat="1">
      <c r="A726" s="93"/>
      <c r="B726" s="51"/>
      <c r="C726" s="295" t="s">
        <v>1454</v>
      </c>
      <c r="D726" s="1191"/>
      <c r="E726" s="295" t="s">
        <v>1455</v>
      </c>
      <c r="F726" s="1122"/>
      <c r="G726" s="1730"/>
      <c r="H726" s="1721"/>
      <c r="I726" s="1711"/>
      <c r="J726" s="1713"/>
      <c r="K726" s="1711"/>
      <c r="L726" s="1722"/>
      <c r="M726" s="1713"/>
      <c r="N726" s="355"/>
    </row>
    <row r="727" spans="1:14" s="94" customFormat="1">
      <c r="A727" s="93"/>
      <c r="B727" s="21"/>
      <c r="C727" s="295" t="s">
        <v>1456</v>
      </c>
      <c r="D727" s="1191"/>
      <c r="E727" s="295" t="s">
        <v>1457</v>
      </c>
      <c r="F727" s="1122"/>
      <c r="G727" s="1730"/>
      <c r="H727" s="1721"/>
      <c r="I727" s="1711"/>
      <c r="J727" s="1713"/>
      <c r="K727" s="1711"/>
      <c r="L727" s="1722"/>
      <c r="M727" s="1713"/>
      <c r="N727" s="355"/>
    </row>
    <row r="728" spans="1:14" s="94" customFormat="1" ht="15" thickBot="1">
      <c r="A728" s="93"/>
      <c r="B728" s="21"/>
      <c r="C728" s="296" t="s">
        <v>1458</v>
      </c>
      <c r="D728" s="1192"/>
      <c r="E728" s="297" t="s">
        <v>1459</v>
      </c>
      <c r="F728" s="1122"/>
      <c r="G728" s="1730"/>
      <c r="H728" s="1721"/>
      <c r="I728" s="1711"/>
      <c r="J728" s="1713"/>
      <c r="K728" s="1711"/>
      <c r="L728" s="1722"/>
      <c r="M728" s="1713"/>
      <c r="N728" s="355"/>
    </row>
    <row r="729" spans="1:14" s="94" customFormat="1" ht="14.45" customHeight="1">
      <c r="A729" s="93"/>
      <c r="B729" s="51"/>
      <c r="C729" s="237" t="s">
        <v>1460</v>
      </c>
      <c r="D729" s="1190" t="s">
        <v>1461</v>
      </c>
      <c r="E729" s="237" t="s">
        <v>1462</v>
      </c>
      <c r="F729" s="1122"/>
      <c r="G729" s="1730"/>
      <c r="H729" s="1721"/>
      <c r="I729" s="1711"/>
      <c r="J729" s="1713"/>
      <c r="K729" s="1711"/>
      <c r="L729" s="1722"/>
      <c r="M729" s="1713"/>
      <c r="N729" s="355"/>
    </row>
    <row r="730" spans="1:14" s="94" customFormat="1">
      <c r="A730" s="93"/>
      <c r="B730" s="51"/>
      <c r="C730" s="295" t="s">
        <v>1463</v>
      </c>
      <c r="D730" s="1191"/>
      <c r="E730" s="295" t="s">
        <v>1464</v>
      </c>
      <c r="F730" s="1122"/>
      <c r="G730" s="1730"/>
      <c r="H730" s="1721"/>
      <c r="I730" s="1711"/>
      <c r="J730" s="1713"/>
      <c r="K730" s="1711"/>
      <c r="L730" s="1722"/>
      <c r="M730" s="1713"/>
      <c r="N730" s="355"/>
    </row>
    <row r="731" spans="1:14" s="94" customFormat="1">
      <c r="A731" s="93"/>
      <c r="B731" s="21"/>
      <c r="C731" s="295" t="s">
        <v>1465</v>
      </c>
      <c r="D731" s="1191"/>
      <c r="E731" s="295" t="s">
        <v>1466</v>
      </c>
      <c r="F731" s="1122"/>
      <c r="G731" s="1730"/>
      <c r="H731" s="1721"/>
      <c r="I731" s="1711"/>
      <c r="J731" s="1713"/>
      <c r="K731" s="1711"/>
      <c r="L731" s="1722"/>
      <c r="M731" s="1713"/>
      <c r="N731" s="355"/>
    </row>
    <row r="732" spans="1:14" s="94" customFormat="1">
      <c r="A732" s="93"/>
      <c r="B732" s="21"/>
      <c r="C732" s="295" t="s">
        <v>1467</v>
      </c>
      <c r="D732" s="1191"/>
      <c r="E732" s="295" t="s">
        <v>1468</v>
      </c>
      <c r="F732" s="1122"/>
      <c r="G732" s="1730"/>
      <c r="H732" s="1721"/>
      <c r="I732" s="1711"/>
      <c r="J732" s="1713"/>
      <c r="K732" s="1711"/>
      <c r="L732" s="1722"/>
      <c r="M732" s="1713"/>
      <c r="N732" s="355"/>
    </row>
    <row r="733" spans="1:14">
      <c r="B733" s="51"/>
      <c r="C733" s="295" t="s">
        <v>1469</v>
      </c>
      <c r="D733" s="1191"/>
      <c r="E733" s="295" t="s">
        <v>1470</v>
      </c>
      <c r="F733" s="1122"/>
      <c r="G733" s="1730"/>
      <c r="H733" s="1721"/>
      <c r="I733" s="1711"/>
      <c r="J733" s="1713"/>
      <c r="K733" s="1711"/>
      <c r="L733" s="1722"/>
      <c r="M733" s="1713"/>
      <c r="N733" s="355"/>
    </row>
    <row r="734" spans="1:14" ht="15" thickBot="1">
      <c r="C734" s="297" t="s">
        <v>1471</v>
      </c>
      <c r="D734" s="1192"/>
      <c r="E734" s="297" t="s">
        <v>1472</v>
      </c>
      <c r="F734" s="1123"/>
      <c r="G734" s="1732"/>
      <c r="H734" s="1733"/>
      <c r="I734" s="1712"/>
      <c r="J734" s="1715"/>
      <c r="K734" s="1712"/>
      <c r="L734" s="1714"/>
      <c r="M734" s="1715"/>
      <c r="N734" s="355"/>
    </row>
    <row r="735" spans="1:14" ht="15" thickBot="1">
      <c r="C735" s="299"/>
      <c r="D735" s="142"/>
      <c r="E735" s="299"/>
      <c r="F735" s="106"/>
      <c r="G735" s="562"/>
      <c r="H735" s="106"/>
      <c r="I735" s="106"/>
      <c r="J735" s="106"/>
      <c r="K735" s="106"/>
      <c r="L735" s="976"/>
      <c r="M735" s="976"/>
      <c r="N735" s="355"/>
    </row>
    <row r="736" spans="1:14" ht="29.1" customHeight="1" thickBot="1">
      <c r="B736" s="51"/>
      <c r="C736" s="161" t="s">
        <v>1473</v>
      </c>
      <c r="D736" s="22" t="s">
        <v>213</v>
      </c>
      <c r="E736" s="22"/>
      <c r="G736" s="581"/>
      <c r="H736" s="1361" t="s">
        <v>101</v>
      </c>
      <c r="I736" s="1675"/>
      <c r="J736" s="1736"/>
      <c r="K736" s="1133" t="s">
        <v>102</v>
      </c>
      <c r="L736" s="1675"/>
      <c r="M736" s="1676"/>
      <c r="N736" s="355"/>
    </row>
    <row r="737" spans="2:14" ht="15" customHeight="1" thickBot="1">
      <c r="B737" s="51"/>
      <c r="C737" s="29" t="s">
        <v>103</v>
      </c>
      <c r="D737" s="31" t="s">
        <v>104</v>
      </c>
      <c r="E737" s="42" t="s">
        <v>105</v>
      </c>
      <c r="F737" s="31" t="s">
        <v>106</v>
      </c>
      <c r="G737" s="175" t="s">
        <v>107</v>
      </c>
      <c r="H737" s="999" t="s">
        <v>108</v>
      </c>
      <c r="I737" s="190" t="s">
        <v>109</v>
      </c>
      <c r="J737" s="191" t="s">
        <v>110</v>
      </c>
      <c r="K737" s="32" t="s">
        <v>111</v>
      </c>
      <c r="L737" s="190" t="s">
        <v>109</v>
      </c>
      <c r="M737" s="192" t="s">
        <v>110</v>
      </c>
      <c r="N737" s="355"/>
    </row>
    <row r="738" spans="2:14" ht="15" customHeight="1" thickBot="1">
      <c r="B738" s="602" t="s">
        <v>150</v>
      </c>
      <c r="C738" s="933" t="s">
        <v>1474</v>
      </c>
      <c r="D738" s="1231" t="s">
        <v>1475</v>
      </c>
      <c r="E738" s="933" t="s">
        <v>1476</v>
      </c>
      <c r="F738" s="1118" t="s">
        <v>108</v>
      </c>
      <c r="G738" s="1170">
        <v>8.4</v>
      </c>
      <c r="H738" s="1160">
        <v>17</v>
      </c>
      <c r="I738" s="1388">
        <v>10.98</v>
      </c>
      <c r="J738" s="1160">
        <v>32.231999999999999</v>
      </c>
      <c r="K738" s="1160">
        <v>45</v>
      </c>
      <c r="L738" s="1160" t="s">
        <v>1477</v>
      </c>
      <c r="M738" s="1160">
        <v>1450.44</v>
      </c>
      <c r="N738" s="355"/>
    </row>
    <row r="739" spans="2:14" ht="15" customHeight="1" thickBot="1">
      <c r="B739" s="602" t="s">
        <v>150</v>
      </c>
      <c r="C739" s="934" t="s">
        <v>1478</v>
      </c>
      <c r="D739" s="1232"/>
      <c r="E739" s="934" t="s">
        <v>1479</v>
      </c>
      <c r="F739" s="1119"/>
      <c r="G739" s="1697"/>
      <c r="H739" s="1686"/>
      <c r="I739" s="1697"/>
      <c r="J739" s="1686"/>
      <c r="K739" s="1686"/>
      <c r="L739" s="1686"/>
      <c r="M739" s="1686"/>
      <c r="N739" s="355"/>
    </row>
    <row r="740" spans="2:14" ht="15" customHeight="1" thickBot="1">
      <c r="B740" s="602" t="s">
        <v>150</v>
      </c>
      <c r="C740" s="933" t="s">
        <v>1480</v>
      </c>
      <c r="D740" s="1232"/>
      <c r="E740" s="933" t="s">
        <v>1481</v>
      </c>
      <c r="F740" s="1119"/>
      <c r="G740" s="1697"/>
      <c r="H740" s="1686"/>
      <c r="I740" s="1697"/>
      <c r="J740" s="1686"/>
      <c r="K740" s="1686"/>
      <c r="L740" s="1686"/>
      <c r="M740" s="1686"/>
      <c r="N740" s="355"/>
    </row>
    <row r="741" spans="2:14" ht="15" customHeight="1" thickBot="1">
      <c r="B741" s="602" t="s">
        <v>150</v>
      </c>
      <c r="C741" s="934" t="s">
        <v>1482</v>
      </c>
      <c r="D741" s="1233"/>
      <c r="E741" s="934" t="s">
        <v>1483</v>
      </c>
      <c r="F741" s="1120"/>
      <c r="G741" s="1700"/>
      <c r="H741" s="1690"/>
      <c r="I741" s="1700"/>
      <c r="J741" s="1690"/>
      <c r="K741" s="1690"/>
      <c r="L741" s="1690"/>
      <c r="M741" s="1690"/>
      <c r="N741" s="355"/>
    </row>
    <row r="742" spans="2:14" ht="14.25" customHeight="1" thickBot="1">
      <c r="C742" s="422"/>
      <c r="D742" s="243"/>
      <c r="E742" s="300"/>
      <c r="F742" s="300"/>
      <c r="G742" s="300"/>
      <c r="H742" s="300"/>
      <c r="I742" s="300"/>
      <c r="J742" s="300"/>
      <c r="K742" s="300"/>
      <c r="L742" s="300"/>
      <c r="M742" s="300"/>
      <c r="N742" s="300"/>
    </row>
    <row r="743" spans="2:14" ht="32.1" customHeight="1" thickBot="1">
      <c r="B743" s="51"/>
      <c r="C743" s="54" t="s">
        <v>1484</v>
      </c>
      <c r="G743" s="150"/>
      <c r="H743" s="1133" t="s">
        <v>101</v>
      </c>
      <c r="I743" s="1675"/>
      <c r="J743" s="1676"/>
      <c r="K743" s="1133" t="s">
        <v>102</v>
      </c>
      <c r="L743" s="1675"/>
      <c r="M743" s="1676"/>
      <c r="N743" s="26"/>
    </row>
    <row r="744" spans="2:14" ht="15" customHeight="1" thickBot="1">
      <c r="C744" s="28" t="s">
        <v>103</v>
      </c>
      <c r="D744" s="32" t="s">
        <v>104</v>
      </c>
      <c r="E744" s="152" t="s">
        <v>105</v>
      </c>
      <c r="F744" s="32" t="s">
        <v>106</v>
      </c>
      <c r="G744" s="32" t="s">
        <v>107</v>
      </c>
      <c r="H744" s="33" t="s">
        <v>108</v>
      </c>
      <c r="I744" s="34" t="s">
        <v>109</v>
      </c>
      <c r="J744" s="36" t="s">
        <v>110</v>
      </c>
      <c r="K744" s="33" t="s">
        <v>111</v>
      </c>
      <c r="L744" s="34" t="s">
        <v>109</v>
      </c>
      <c r="M744" s="36" t="s">
        <v>110</v>
      </c>
      <c r="N744" s="37"/>
    </row>
    <row r="745" spans="2:14" ht="15" customHeight="1" thickBot="1">
      <c r="B745" s="21" t="s">
        <v>112</v>
      </c>
      <c r="C745" s="239" t="s">
        <v>1485</v>
      </c>
      <c r="D745" s="255" t="s">
        <v>119</v>
      </c>
      <c r="E745" s="66" t="s">
        <v>1486</v>
      </c>
      <c r="F745" s="153" t="s">
        <v>109</v>
      </c>
      <c r="G745" s="571">
        <v>2.1</v>
      </c>
      <c r="H745" s="324">
        <v>2</v>
      </c>
      <c r="I745" s="325">
        <v>15.5</v>
      </c>
      <c r="J745" s="329">
        <v>67.924000000000007</v>
      </c>
      <c r="K745" s="324">
        <v>29</v>
      </c>
      <c r="L745" s="358">
        <v>449.5</v>
      </c>
      <c r="M745" s="359">
        <v>1969.8</v>
      </c>
      <c r="N745" s="355"/>
    </row>
    <row r="746" spans="2:14" ht="15" customHeight="1" thickBot="1">
      <c r="B746" s="21" t="s">
        <v>795</v>
      </c>
      <c r="C746" s="239" t="s">
        <v>1487</v>
      </c>
      <c r="D746" s="255" t="s">
        <v>119</v>
      </c>
      <c r="E746" s="66" t="s">
        <v>1486</v>
      </c>
      <c r="F746" s="153" t="s">
        <v>109</v>
      </c>
      <c r="G746" s="571">
        <v>2.1</v>
      </c>
      <c r="H746" s="324">
        <v>2</v>
      </c>
      <c r="I746" s="325">
        <v>15.5</v>
      </c>
      <c r="J746" s="329">
        <v>58.58</v>
      </c>
      <c r="K746" s="324">
        <v>35</v>
      </c>
      <c r="L746" s="358">
        <v>542.5</v>
      </c>
      <c r="M746" s="359">
        <v>2050.37</v>
      </c>
      <c r="N746" s="355"/>
    </row>
    <row r="747" spans="2:14" ht="21.6" customHeight="1" thickBot="1">
      <c r="D747" s="243"/>
      <c r="E747" s="149"/>
      <c r="F747" s="150"/>
      <c r="G747" s="150"/>
      <c r="H747" s="150"/>
      <c r="I747" s="151"/>
      <c r="J747" s="150"/>
      <c r="K747" s="243"/>
      <c r="L747" s="328"/>
      <c r="M747" s="328"/>
      <c r="N747" s="328"/>
    </row>
    <row r="748" spans="2:14" ht="32.1" customHeight="1" thickBot="1">
      <c r="C748" s="63" t="s">
        <v>1488</v>
      </c>
      <c r="G748" s="150"/>
      <c r="H748" s="1133" t="s">
        <v>101</v>
      </c>
      <c r="I748" s="1675"/>
      <c r="J748" s="1676"/>
      <c r="K748" s="1133" t="s">
        <v>102</v>
      </c>
      <c r="L748" s="1675"/>
      <c r="M748" s="1676"/>
      <c r="N748" s="26"/>
    </row>
    <row r="749" spans="2:14" ht="15" customHeight="1" thickBot="1">
      <c r="C749" s="28" t="s">
        <v>103</v>
      </c>
      <c r="D749" s="31" t="s">
        <v>104</v>
      </c>
      <c r="E749" s="152" t="s">
        <v>105</v>
      </c>
      <c r="F749" s="32" t="s">
        <v>106</v>
      </c>
      <c r="G749" s="32" t="s">
        <v>107</v>
      </c>
      <c r="H749" s="33" t="s">
        <v>108</v>
      </c>
      <c r="I749" s="34" t="s">
        <v>109</v>
      </c>
      <c r="J749" s="36" t="s">
        <v>110</v>
      </c>
      <c r="K749" s="33" t="s">
        <v>111</v>
      </c>
      <c r="L749" s="34" t="s">
        <v>109</v>
      </c>
      <c r="M749" s="36" t="s">
        <v>110</v>
      </c>
      <c r="N749" s="37"/>
    </row>
    <row r="750" spans="2:14" ht="15" customHeight="1" thickBot="1">
      <c r="B750" s="21" t="s">
        <v>213</v>
      </c>
      <c r="C750" s="244" t="s">
        <v>1489</v>
      </c>
      <c r="D750" s="1450" t="s">
        <v>1490</v>
      </c>
      <c r="E750" s="301" t="s">
        <v>1491</v>
      </c>
      <c r="F750" s="1118" t="s">
        <v>108</v>
      </c>
      <c r="G750" s="1170">
        <v>3</v>
      </c>
      <c r="H750" s="1117">
        <v>18</v>
      </c>
      <c r="I750" s="1128">
        <v>1.4531000000000001</v>
      </c>
      <c r="J750" s="1116">
        <v>5.94</v>
      </c>
      <c r="K750" s="1117">
        <v>264</v>
      </c>
      <c r="L750" s="1114">
        <v>383.61840000000001</v>
      </c>
      <c r="M750" s="1116">
        <v>1568.16</v>
      </c>
      <c r="N750" s="355"/>
    </row>
    <row r="751" spans="2:14" ht="15" customHeight="1" thickBot="1">
      <c r="C751" s="244" t="s">
        <v>1492</v>
      </c>
      <c r="D751" s="1451"/>
      <c r="E751" s="301" t="s">
        <v>1493</v>
      </c>
      <c r="F751" s="1120"/>
      <c r="G751" s="1700"/>
      <c r="H751" s="1690"/>
      <c r="I751" s="1690"/>
      <c r="J751" s="1694"/>
      <c r="K751" s="1690"/>
      <c r="L751" s="1692"/>
      <c r="M751" s="1694"/>
      <c r="N751" s="355"/>
    </row>
    <row r="752" spans="2:14" ht="15" thickBot="1">
      <c r="C752" s="250" t="s">
        <v>1494</v>
      </c>
      <c r="D752" s="1439" t="s">
        <v>1495</v>
      </c>
      <c r="E752" s="301" t="s">
        <v>1496</v>
      </c>
      <c r="F752" s="1118" t="s">
        <v>108</v>
      </c>
      <c r="G752" s="1170">
        <v>1.62</v>
      </c>
      <c r="H752" s="1241">
        <v>30</v>
      </c>
      <c r="I752" s="1128">
        <v>0.9375</v>
      </c>
      <c r="J752" s="1150">
        <v>2.31</v>
      </c>
      <c r="K752" s="1117">
        <v>432</v>
      </c>
      <c r="L752" s="1114">
        <v>405</v>
      </c>
      <c r="M752" s="1116">
        <v>920.16</v>
      </c>
      <c r="N752" s="355"/>
    </row>
    <row r="753" spans="2:14" ht="15" thickBot="1">
      <c r="C753" s="251" t="s">
        <v>1497</v>
      </c>
      <c r="D753" s="1120"/>
      <c r="E753" s="302" t="s">
        <v>1498</v>
      </c>
      <c r="F753" s="1120"/>
      <c r="G753" s="1700"/>
      <c r="H753" s="1686"/>
      <c r="I753" s="1690"/>
      <c r="J753" s="1689"/>
      <c r="K753" s="1690"/>
      <c r="L753" s="1692"/>
      <c r="M753" s="1694"/>
      <c r="N753" s="355"/>
    </row>
    <row r="754" spans="2:14" ht="15" thickBot="1">
      <c r="C754" s="250" t="s">
        <v>1499</v>
      </c>
      <c r="D754" s="1118" t="s">
        <v>1500</v>
      </c>
      <c r="E754" s="301" t="s">
        <v>1501</v>
      </c>
      <c r="F754" s="1118" t="s">
        <v>108</v>
      </c>
      <c r="G754" s="1170">
        <v>1.62</v>
      </c>
      <c r="H754" s="1241">
        <v>15</v>
      </c>
      <c r="I754" s="1128">
        <v>0.5474</v>
      </c>
      <c r="J754" s="1150">
        <v>1.82</v>
      </c>
      <c r="K754" s="1117">
        <v>432</v>
      </c>
      <c r="L754" s="1114">
        <v>236.4768</v>
      </c>
      <c r="M754" s="1116">
        <v>784.08</v>
      </c>
      <c r="N754" s="355"/>
    </row>
    <row r="755" spans="2:14">
      <c r="C755" s="251" t="s">
        <v>1502</v>
      </c>
      <c r="D755" s="1119"/>
      <c r="E755" s="302" t="s">
        <v>1503</v>
      </c>
      <c r="F755" s="1119"/>
      <c r="G755" s="1697"/>
      <c r="H755" s="1686"/>
      <c r="I755" s="1686"/>
      <c r="J755" s="1689"/>
      <c r="K755" s="1686"/>
      <c r="L755" s="1687"/>
      <c r="M755" s="1689"/>
      <c r="N755" s="355"/>
    </row>
    <row r="756" spans="2:14" ht="15" thickBot="1">
      <c r="C756" s="251" t="s">
        <v>1504</v>
      </c>
      <c r="D756" s="1120"/>
      <c r="E756" s="302" t="s">
        <v>1505</v>
      </c>
      <c r="F756" s="1119"/>
      <c r="G756" s="1700"/>
      <c r="H756" s="1686"/>
      <c r="I756" s="1690"/>
      <c r="J756" s="1689"/>
      <c r="K756" s="1690"/>
      <c r="L756" s="1692"/>
      <c r="M756" s="1694"/>
      <c r="N756" s="355"/>
    </row>
    <row r="757" spans="2:14">
      <c r="C757" s="244" t="s">
        <v>1506</v>
      </c>
      <c r="D757" s="245" t="s">
        <v>1507</v>
      </c>
      <c r="E757" s="278" t="s">
        <v>1508</v>
      </c>
      <c r="F757" s="1118" t="s">
        <v>108</v>
      </c>
      <c r="G757" s="553">
        <v>2.76</v>
      </c>
      <c r="H757" s="330">
        <v>28</v>
      </c>
      <c r="I757" s="331">
        <v>5.35</v>
      </c>
      <c r="J757" s="377">
        <v>14.9</v>
      </c>
      <c r="K757" s="330">
        <v>75</v>
      </c>
      <c r="L757" s="331">
        <v>401.1</v>
      </c>
      <c r="M757" s="377">
        <v>1119.3</v>
      </c>
      <c r="N757" s="355"/>
    </row>
    <row r="758" spans="2:14">
      <c r="C758" s="247" t="s">
        <v>1509</v>
      </c>
      <c r="D758" s="248" t="s">
        <v>1510</v>
      </c>
      <c r="E758" s="280" t="s">
        <v>1511</v>
      </c>
      <c r="F758" s="1119"/>
      <c r="G758" s="572">
        <v>2.76</v>
      </c>
      <c r="H758" s="378">
        <v>36</v>
      </c>
      <c r="I758" s="356">
        <v>6.2968999999999999</v>
      </c>
      <c r="J758" s="379">
        <v>19.260000000000002</v>
      </c>
      <c r="K758" s="378">
        <v>75</v>
      </c>
      <c r="L758" s="356">
        <v>472.27</v>
      </c>
      <c r="M758" s="379">
        <v>1444.5</v>
      </c>
      <c r="N758" s="355"/>
    </row>
    <row r="759" spans="2:14">
      <c r="C759" s="247" t="s">
        <v>1512</v>
      </c>
      <c r="D759" s="248" t="s">
        <v>1513</v>
      </c>
      <c r="E759" s="280" t="s">
        <v>1514</v>
      </c>
      <c r="F759" s="1119"/>
      <c r="G759" s="572">
        <v>2.76</v>
      </c>
      <c r="H759" s="378">
        <v>28</v>
      </c>
      <c r="I759" s="356">
        <v>7.5347999999999997</v>
      </c>
      <c r="J759" s="379">
        <v>14.92</v>
      </c>
      <c r="K759" s="378">
        <v>75</v>
      </c>
      <c r="L759" s="356">
        <v>565.11</v>
      </c>
      <c r="M759" s="379">
        <v>1119.3</v>
      </c>
      <c r="N759" s="355"/>
    </row>
    <row r="760" spans="2:14">
      <c r="C760" s="247" t="s">
        <v>1515</v>
      </c>
      <c r="D760" s="248" t="s">
        <v>1516</v>
      </c>
      <c r="E760" s="280" t="s">
        <v>1517</v>
      </c>
      <c r="F760" s="1119"/>
      <c r="G760" s="572">
        <v>4.1399999999999997</v>
      </c>
      <c r="H760" s="378">
        <v>20</v>
      </c>
      <c r="I760" s="356">
        <v>8.0730000000000004</v>
      </c>
      <c r="J760" s="379">
        <v>28.54</v>
      </c>
      <c r="K760" s="378">
        <v>75</v>
      </c>
      <c r="L760" s="356">
        <v>605.48</v>
      </c>
      <c r="M760" s="379">
        <v>2140.5</v>
      </c>
      <c r="N760" s="355"/>
    </row>
    <row r="761" spans="2:14">
      <c r="C761" s="247" t="s">
        <v>1518</v>
      </c>
      <c r="D761" s="1329" t="s">
        <v>1519</v>
      </c>
      <c r="E761" s="280" t="s">
        <v>1520</v>
      </c>
      <c r="F761" s="1119"/>
      <c r="G761" s="572">
        <v>6.9</v>
      </c>
      <c r="H761" s="378">
        <v>16</v>
      </c>
      <c r="I761" s="356">
        <v>0.192</v>
      </c>
      <c r="J761" s="379">
        <v>0.38</v>
      </c>
      <c r="K761" s="378">
        <v>2400</v>
      </c>
      <c r="L761" s="356">
        <v>460.8</v>
      </c>
      <c r="M761" s="379">
        <v>921.6</v>
      </c>
      <c r="N761" s="355"/>
    </row>
    <row r="762" spans="2:14" ht="16.5" customHeight="1">
      <c r="C762" s="247" t="s">
        <v>1521</v>
      </c>
      <c r="D762" s="1400"/>
      <c r="E762" s="280" t="s">
        <v>1522</v>
      </c>
      <c r="F762" s="1119"/>
      <c r="G762" s="572">
        <v>6.9</v>
      </c>
      <c r="H762" s="378">
        <v>18</v>
      </c>
      <c r="I762" s="356">
        <v>0.48</v>
      </c>
      <c r="J762" s="379">
        <v>1.026</v>
      </c>
      <c r="K762" s="378">
        <v>675</v>
      </c>
      <c r="L762" s="356">
        <v>320.70999999999998</v>
      </c>
      <c r="M762" s="379">
        <v>692.55</v>
      </c>
      <c r="N762" s="355"/>
    </row>
    <row r="763" spans="2:14">
      <c r="C763" s="247" t="s">
        <v>1523</v>
      </c>
      <c r="D763" s="248" t="s">
        <v>1524</v>
      </c>
      <c r="E763" s="280" t="s">
        <v>1525</v>
      </c>
      <c r="F763" s="1119"/>
      <c r="G763" s="572">
        <v>6.9</v>
      </c>
      <c r="H763" s="378">
        <v>18</v>
      </c>
      <c r="I763" s="356">
        <v>0.56000000000000005</v>
      </c>
      <c r="J763" s="379">
        <v>1.35</v>
      </c>
      <c r="K763" s="378">
        <v>960</v>
      </c>
      <c r="L763" s="356">
        <v>542.59</v>
      </c>
      <c r="M763" s="379">
        <v>1296</v>
      </c>
      <c r="N763" s="355"/>
    </row>
    <row r="764" spans="2:14" ht="15" thickBot="1">
      <c r="C764" s="249" t="s">
        <v>1526</v>
      </c>
      <c r="D764" s="253" t="s">
        <v>1527</v>
      </c>
      <c r="E764" s="283" t="s">
        <v>1528</v>
      </c>
      <c r="F764" s="1120"/>
      <c r="G764" s="227">
        <v>2.08</v>
      </c>
      <c r="H764" s="342">
        <v>24</v>
      </c>
      <c r="I764" s="343">
        <v>1.29</v>
      </c>
      <c r="J764" s="380">
        <v>3.86</v>
      </c>
      <c r="K764" s="342">
        <v>260</v>
      </c>
      <c r="L764" s="343">
        <v>335.71</v>
      </c>
      <c r="M764" s="380">
        <v>1004.64</v>
      </c>
      <c r="N764" s="355"/>
    </row>
    <row r="765" spans="2:14" ht="15" thickBot="1">
      <c r="C765" s="422" t="s">
        <v>247</v>
      </c>
      <c r="D765" s="243"/>
      <c r="E765" s="242"/>
      <c r="F765" s="243"/>
      <c r="G765" s="243"/>
      <c r="H765" s="243"/>
      <c r="I765" s="328"/>
      <c r="J765" s="328"/>
      <c r="K765" s="243"/>
      <c r="L765" s="328"/>
      <c r="M765" s="328"/>
      <c r="N765" s="328"/>
    </row>
    <row r="766" spans="2:14" ht="31.5" customHeight="1" thickBot="1">
      <c r="C766" s="19" t="s">
        <v>1529</v>
      </c>
      <c r="G766" s="549"/>
      <c r="H766" s="1133" t="s">
        <v>101</v>
      </c>
      <c r="I766" s="1675"/>
      <c r="J766" s="1676"/>
      <c r="K766" s="1133" t="s">
        <v>102</v>
      </c>
      <c r="L766" s="1675"/>
      <c r="M766" s="1676"/>
      <c r="N766" s="26"/>
    </row>
    <row r="767" spans="2:14" ht="15" customHeight="1" thickBot="1">
      <c r="C767" s="29" t="s">
        <v>103</v>
      </c>
      <c r="D767" s="31" t="s">
        <v>104</v>
      </c>
      <c r="E767" s="88" t="s">
        <v>105</v>
      </c>
      <c r="F767" s="32" t="s">
        <v>106</v>
      </c>
      <c r="G767" s="32" t="s">
        <v>107</v>
      </c>
      <c r="H767" s="33" t="s">
        <v>108</v>
      </c>
      <c r="I767" s="34" t="s">
        <v>109</v>
      </c>
      <c r="J767" s="73" t="s">
        <v>110</v>
      </c>
      <c r="K767" s="33" t="s">
        <v>111</v>
      </c>
      <c r="L767" s="34" t="s">
        <v>109</v>
      </c>
      <c r="M767" s="73" t="s">
        <v>110</v>
      </c>
      <c r="N767" s="37"/>
    </row>
    <row r="768" spans="2:14" ht="15" customHeight="1" thickBot="1">
      <c r="B768" s="21" t="s">
        <v>112</v>
      </c>
      <c r="C768" s="257" t="s">
        <v>1530</v>
      </c>
      <c r="D768" s="255" t="s">
        <v>259</v>
      </c>
      <c r="E768" s="267" t="s">
        <v>1531</v>
      </c>
      <c r="F768" s="255" t="s">
        <v>109</v>
      </c>
      <c r="G768" s="545">
        <v>2.82</v>
      </c>
      <c r="H768" s="324">
        <v>3</v>
      </c>
      <c r="I768" s="325">
        <v>11.625</v>
      </c>
      <c r="J768" s="326">
        <f>M768/K768</f>
        <v>48.344999999999999</v>
      </c>
      <c r="K768" s="324">
        <v>40</v>
      </c>
      <c r="L768" s="325">
        <f>I768*K768</f>
        <v>465</v>
      </c>
      <c r="M768" s="326">
        <v>1933.8</v>
      </c>
      <c r="N768" s="355"/>
    </row>
    <row r="769" spans="2:14" ht="15" customHeight="1" thickBot="1">
      <c r="C769" s="256"/>
      <c r="D769" s="243"/>
      <c r="E769" s="242"/>
      <c r="F769" s="243"/>
      <c r="G769" s="323"/>
      <c r="H769" s="243"/>
      <c r="I769" s="328"/>
      <c r="J769" s="328"/>
      <c r="K769" s="243"/>
      <c r="L769" s="328"/>
      <c r="M769" s="328"/>
      <c r="N769" s="355"/>
    </row>
    <row r="770" spans="2:14" ht="32.1" customHeight="1" thickBot="1">
      <c r="C770" s="977" t="s">
        <v>1532</v>
      </c>
      <c r="G770" s="549"/>
      <c r="H770" s="1133" t="s">
        <v>101</v>
      </c>
      <c r="I770" s="1675"/>
      <c r="J770" s="1676"/>
      <c r="K770" s="1133" t="s">
        <v>102</v>
      </c>
      <c r="L770" s="1675"/>
      <c r="M770" s="1676"/>
      <c r="N770" s="355"/>
    </row>
    <row r="771" spans="2:14" ht="15" customHeight="1" thickBot="1">
      <c r="C771" s="29" t="s">
        <v>103</v>
      </c>
      <c r="D771" s="31" t="s">
        <v>104</v>
      </c>
      <c r="E771" s="88" t="s">
        <v>105</v>
      </c>
      <c r="F771" s="31" t="s">
        <v>106</v>
      </c>
      <c r="G771" s="32" t="s">
        <v>107</v>
      </c>
      <c r="H771" s="33" t="s">
        <v>108</v>
      </c>
      <c r="I771" s="34" t="s">
        <v>109</v>
      </c>
      <c r="J771" s="73" t="s">
        <v>110</v>
      </c>
      <c r="K771" s="33" t="s">
        <v>111</v>
      </c>
      <c r="L771" s="34" t="s">
        <v>109</v>
      </c>
      <c r="M771" s="73" t="s">
        <v>110</v>
      </c>
      <c r="N771" s="355"/>
    </row>
    <row r="772" spans="2:14" ht="15" customHeight="1" thickBot="1">
      <c r="B772" s="602" t="s">
        <v>150</v>
      </c>
      <c r="C772" s="257" t="s">
        <v>1533</v>
      </c>
      <c r="D772" s="1118" t="s">
        <v>259</v>
      </c>
      <c r="E772" s="304" t="s">
        <v>1534</v>
      </c>
      <c r="F772" s="1127" t="s">
        <v>109</v>
      </c>
      <c r="G772" s="1413">
        <v>3.18</v>
      </c>
      <c r="H772" s="1251">
        <v>3</v>
      </c>
      <c r="I772" s="1130">
        <v>11.625</v>
      </c>
      <c r="J772" s="1117">
        <v>49.613999999999997</v>
      </c>
      <c r="K772" s="1117">
        <v>40</v>
      </c>
      <c r="L772" s="1117">
        <v>465</v>
      </c>
      <c r="M772" s="1117">
        <v>1984.56</v>
      </c>
      <c r="N772" s="355"/>
    </row>
    <row r="773" spans="2:14" ht="15" customHeight="1" thickBot="1">
      <c r="B773" s="602" t="s">
        <v>150</v>
      </c>
      <c r="C773" s="257" t="s">
        <v>1535</v>
      </c>
      <c r="D773" s="1119"/>
      <c r="E773" s="304" t="s">
        <v>1536</v>
      </c>
      <c r="F773" s="1127"/>
      <c r="G773" s="1737"/>
      <c r="H773" s="1720"/>
      <c r="I773" s="1697"/>
      <c r="J773" s="1686"/>
      <c r="K773" s="1686"/>
      <c r="L773" s="1686"/>
      <c r="M773" s="1686"/>
      <c r="N773" s="355"/>
    </row>
    <row r="774" spans="2:14" ht="15" customHeight="1" thickBot="1">
      <c r="B774" s="602" t="s">
        <v>150</v>
      </c>
      <c r="C774" s="257" t="s">
        <v>1537</v>
      </c>
      <c r="D774" s="1119"/>
      <c r="E774" s="304" t="s">
        <v>1538</v>
      </c>
      <c r="F774" s="1127"/>
      <c r="G774" s="1564">
        <v>3.54</v>
      </c>
      <c r="H774" s="1720"/>
      <c r="I774" s="1697"/>
      <c r="J774" s="1686"/>
      <c r="K774" s="1686"/>
      <c r="L774" s="1686"/>
      <c r="M774" s="1686"/>
      <c r="N774" s="355"/>
    </row>
    <row r="775" spans="2:14" ht="15" customHeight="1" thickBot="1">
      <c r="B775" s="602" t="s">
        <v>150</v>
      </c>
      <c r="C775" s="257" t="s">
        <v>1539</v>
      </c>
      <c r="D775" s="1120"/>
      <c r="E775" s="304" t="s">
        <v>1540</v>
      </c>
      <c r="F775" s="1127"/>
      <c r="G775" s="1738"/>
      <c r="H775" s="1706"/>
      <c r="I775" s="1700"/>
      <c r="J775" s="1690"/>
      <c r="K775" s="1690"/>
      <c r="L775" s="1690"/>
      <c r="M775" s="1690"/>
      <c r="N775" s="355"/>
    </row>
    <row r="776" spans="2:14" ht="15" customHeight="1" thickBot="1">
      <c r="B776" s="602" t="s">
        <v>150</v>
      </c>
      <c r="C776" s="257" t="s">
        <v>1541</v>
      </c>
      <c r="D776" s="1118" t="s">
        <v>278</v>
      </c>
      <c r="E776" s="304" t="s">
        <v>1542</v>
      </c>
      <c r="F776" s="1127"/>
      <c r="G776" s="1571">
        <v>4.2</v>
      </c>
      <c r="H776" s="1117">
        <v>4</v>
      </c>
      <c r="I776" s="1130">
        <v>11.625</v>
      </c>
      <c r="J776" s="1117">
        <v>43.55</v>
      </c>
      <c r="K776" s="1117">
        <v>48</v>
      </c>
      <c r="L776" s="1117">
        <v>558</v>
      </c>
      <c r="M776" s="1117">
        <v>2090.5</v>
      </c>
      <c r="N776" s="355"/>
    </row>
    <row r="777" spans="2:14" ht="15" customHeight="1" thickBot="1">
      <c r="B777" s="602" t="s">
        <v>150</v>
      </c>
      <c r="C777" s="257" t="s">
        <v>1543</v>
      </c>
      <c r="D777" s="1120"/>
      <c r="E777" s="304" t="s">
        <v>1544</v>
      </c>
      <c r="F777" s="1127"/>
      <c r="G777" s="1739"/>
      <c r="H777" s="1690"/>
      <c r="I777" s="1700"/>
      <c r="J777" s="1690"/>
      <c r="K777" s="1690"/>
      <c r="L777" s="1690"/>
      <c r="M777" s="1690"/>
      <c r="N777" s="355"/>
    </row>
    <row r="778" spans="2:14" ht="15" customHeight="1" thickBot="1">
      <c r="B778" s="602" t="s">
        <v>150</v>
      </c>
      <c r="C778" s="257" t="s">
        <v>1545</v>
      </c>
      <c r="D778" s="1118" t="s">
        <v>268</v>
      </c>
      <c r="E778" s="304" t="s">
        <v>1546</v>
      </c>
      <c r="F778" s="1127"/>
      <c r="G778" s="1569">
        <v>5</v>
      </c>
      <c r="H778" s="1251">
        <v>1</v>
      </c>
      <c r="I778" s="1130">
        <v>15.5</v>
      </c>
      <c r="J778" s="1117">
        <v>66.66</v>
      </c>
      <c r="K778" s="1117">
        <v>42</v>
      </c>
      <c r="L778" s="1117">
        <v>651</v>
      </c>
      <c r="M778" s="1117">
        <v>2800</v>
      </c>
      <c r="N778" s="355"/>
    </row>
    <row r="779" spans="2:14" ht="15" customHeight="1" thickBot="1">
      <c r="B779" s="602" t="s">
        <v>150</v>
      </c>
      <c r="C779" s="257" t="s">
        <v>1547</v>
      </c>
      <c r="D779" s="1120"/>
      <c r="E779" s="304" t="s">
        <v>1548</v>
      </c>
      <c r="F779" s="1127"/>
      <c r="G779" s="1718"/>
      <c r="H779" s="1706"/>
      <c r="I779" s="1700"/>
      <c r="J779" s="1690"/>
      <c r="K779" s="1690"/>
      <c r="L779" s="1690"/>
      <c r="M779" s="1690"/>
      <c r="N779" s="355"/>
    </row>
    <row r="780" spans="2:14" ht="15" customHeight="1" thickBot="1">
      <c r="C780" s="256"/>
      <c r="D780" s="243"/>
      <c r="E780" s="242"/>
      <c r="F780" s="243"/>
      <c r="G780" s="323"/>
      <c r="H780" s="243"/>
      <c r="I780" s="978"/>
      <c r="J780" s="323"/>
      <c r="K780" s="368"/>
      <c r="L780" s="978"/>
      <c r="M780" s="329"/>
      <c r="N780" s="355"/>
    </row>
    <row r="781" spans="2:14" ht="32.1" customHeight="1" thickBot="1">
      <c r="C781" s="19" t="s">
        <v>1549</v>
      </c>
      <c r="G781" s="549"/>
      <c r="H781" s="1133" t="s">
        <v>101</v>
      </c>
      <c r="I781" s="1675"/>
      <c r="J781" s="1676"/>
      <c r="K781" s="1133" t="s">
        <v>102</v>
      </c>
      <c r="L781" s="1675"/>
      <c r="M781" s="1676"/>
      <c r="N781" s="26"/>
    </row>
    <row r="782" spans="2:14" ht="15" customHeight="1" thickBot="1">
      <c r="C782" s="29" t="s">
        <v>103</v>
      </c>
      <c r="D782" s="32" t="s">
        <v>104</v>
      </c>
      <c r="E782" s="88" t="s">
        <v>105</v>
      </c>
      <c r="F782" s="32" t="s">
        <v>106</v>
      </c>
      <c r="G782" s="32" t="s">
        <v>107</v>
      </c>
      <c r="H782" s="43" t="s">
        <v>108</v>
      </c>
      <c r="I782" s="44" t="s">
        <v>109</v>
      </c>
      <c r="J782" s="193" t="s">
        <v>110</v>
      </c>
      <c r="K782" s="43" t="s">
        <v>111</v>
      </c>
      <c r="L782" s="44" t="s">
        <v>109</v>
      </c>
      <c r="M782" s="193" t="s">
        <v>110</v>
      </c>
      <c r="N782" s="37"/>
    </row>
    <row r="783" spans="2:14" ht="15" thickBot="1">
      <c r="B783" s="885" t="s">
        <v>1550</v>
      </c>
      <c r="C783" s="898" t="s">
        <v>1551</v>
      </c>
      <c r="D783" s="1162" t="s">
        <v>114</v>
      </c>
      <c r="E783" s="240" t="s">
        <v>1552</v>
      </c>
      <c r="F783" s="1143" t="s">
        <v>109</v>
      </c>
      <c r="G783" s="1170">
        <v>3</v>
      </c>
      <c r="H783" s="1112">
        <v>6</v>
      </c>
      <c r="I783" s="1159">
        <v>11.6251</v>
      </c>
      <c r="J783" s="1136">
        <v>48.514000000000003</v>
      </c>
      <c r="K783" s="1381">
        <v>48</v>
      </c>
      <c r="L783" s="1113">
        <f>K783*I783</f>
        <v>558.00479999999993</v>
      </c>
      <c r="M783" s="1136">
        <f>J783*K783</f>
        <v>2328.672</v>
      </c>
      <c r="N783" s="37"/>
    </row>
    <row r="784" spans="2:14">
      <c r="C784" s="899" t="s">
        <v>1553</v>
      </c>
      <c r="D784" s="1164"/>
      <c r="E784" s="241" t="s">
        <v>1554</v>
      </c>
      <c r="F784" s="1144"/>
      <c r="G784" s="1697"/>
      <c r="H784" s="1686"/>
      <c r="I784" s="1686"/>
      <c r="J784" s="1689"/>
      <c r="K784" s="1686"/>
      <c r="L784" s="1687"/>
      <c r="M784" s="1689"/>
      <c r="N784" s="37"/>
    </row>
    <row r="785" spans="1:14">
      <c r="C785" s="899" t="s">
        <v>1555</v>
      </c>
      <c r="D785" s="1164"/>
      <c r="E785" s="241" t="s">
        <v>1556</v>
      </c>
      <c r="F785" s="1144"/>
      <c r="G785" s="1697"/>
      <c r="H785" s="1686"/>
      <c r="I785" s="1686"/>
      <c r="J785" s="1689"/>
      <c r="K785" s="1686"/>
      <c r="L785" s="1687"/>
      <c r="M785" s="1689"/>
      <c r="N785" s="37"/>
    </row>
    <row r="786" spans="1:14" ht="15" thickBot="1">
      <c r="C786" s="900" t="s">
        <v>1557</v>
      </c>
      <c r="D786" s="1163"/>
      <c r="E786" s="1" t="s">
        <v>1558</v>
      </c>
      <c r="F786" s="1144"/>
      <c r="G786" s="1700"/>
      <c r="H786" s="1690"/>
      <c r="I786" s="1690"/>
      <c r="J786" s="1694"/>
      <c r="K786" s="1690"/>
      <c r="L786" s="1692"/>
      <c r="M786" s="1694"/>
      <c r="N786" s="37"/>
    </row>
    <row r="787" spans="1:14" ht="15" thickBot="1">
      <c r="C787" s="901" t="s">
        <v>1559</v>
      </c>
      <c r="D787" s="1162" t="s">
        <v>259</v>
      </c>
      <c r="E787" s="246" t="s">
        <v>1560</v>
      </c>
      <c r="F787" s="1119"/>
      <c r="G787" s="1170">
        <v>3</v>
      </c>
      <c r="H787" s="1300">
        <v>3</v>
      </c>
      <c r="I787" s="1159">
        <v>11.6251</v>
      </c>
      <c r="J787" s="1135">
        <v>49.598999999999997</v>
      </c>
      <c r="K787" s="1414">
        <v>40</v>
      </c>
      <c r="L787" s="1369">
        <f>K787*I787</f>
        <v>465.00400000000002</v>
      </c>
      <c r="M787" s="1135">
        <f>K787*J787</f>
        <v>1983.9599999999998</v>
      </c>
      <c r="N787" s="37"/>
    </row>
    <row r="788" spans="1:14">
      <c r="C788" s="899" t="s">
        <v>1561</v>
      </c>
      <c r="D788" s="1164"/>
      <c r="E788" s="241" t="s">
        <v>1562</v>
      </c>
      <c r="F788" s="1119"/>
      <c r="G788" s="1697"/>
      <c r="H788" s="1686"/>
      <c r="I788" s="1686"/>
      <c r="J788" s="1689"/>
      <c r="K788" s="1686"/>
      <c r="L788" s="1687"/>
      <c r="M788" s="1689"/>
      <c r="N788" s="37"/>
    </row>
    <row r="789" spans="1:14">
      <c r="C789" s="899" t="s">
        <v>1563</v>
      </c>
      <c r="D789" s="1164"/>
      <c r="E789" s="241" t="s">
        <v>1564</v>
      </c>
      <c r="F789" s="1119"/>
      <c r="G789" s="1697"/>
      <c r="H789" s="1686"/>
      <c r="I789" s="1686"/>
      <c r="J789" s="1689"/>
      <c r="K789" s="1686"/>
      <c r="L789" s="1687"/>
      <c r="M789" s="1689"/>
      <c r="N789" s="37"/>
    </row>
    <row r="790" spans="1:14" ht="15" thickBot="1">
      <c r="C790" s="900" t="s">
        <v>1565</v>
      </c>
      <c r="D790" s="1163"/>
      <c r="E790" s="1" t="s">
        <v>1566</v>
      </c>
      <c r="F790" s="1119"/>
      <c r="G790" s="1700"/>
      <c r="H790" s="1691"/>
      <c r="I790" s="1690"/>
      <c r="J790" s="1705"/>
      <c r="K790" s="1691"/>
      <c r="L790" s="1718"/>
      <c r="M790" s="1705"/>
      <c r="N790" s="37"/>
    </row>
    <row r="791" spans="1:14">
      <c r="C791" s="241" t="s">
        <v>1567</v>
      </c>
      <c r="D791" s="1118" t="s">
        <v>1568</v>
      </c>
      <c r="E791" s="306" t="s">
        <v>1569</v>
      </c>
      <c r="F791" s="1118" t="s">
        <v>108</v>
      </c>
      <c r="G791" s="1179">
        <v>5.4</v>
      </c>
      <c r="H791" s="1528">
        <v>10</v>
      </c>
      <c r="I791" s="1218">
        <v>5.1666999999999996</v>
      </c>
      <c r="J791" s="1534">
        <v>22.86</v>
      </c>
      <c r="K791" s="1534">
        <v>60</v>
      </c>
      <c r="L791" s="1546">
        <v>310.00199999999995</v>
      </c>
      <c r="M791" s="1549">
        <v>1371.6</v>
      </c>
      <c r="N791" s="157"/>
    </row>
    <row r="792" spans="1:14" ht="15" thickBot="1">
      <c r="C792" s="241" t="s">
        <v>1570</v>
      </c>
      <c r="D792" s="1119"/>
      <c r="E792" s="308" t="s">
        <v>1571</v>
      </c>
      <c r="F792" s="1119"/>
      <c r="G792" s="1574"/>
      <c r="H792" s="1528"/>
      <c r="I792" s="1218"/>
      <c r="J792" s="1534"/>
      <c r="K792" s="1534"/>
      <c r="L792" s="1546"/>
      <c r="M792" s="1549"/>
      <c r="N792" s="157"/>
    </row>
    <row r="793" spans="1:14">
      <c r="B793" s="21" t="s">
        <v>1550</v>
      </c>
      <c r="C793" s="241" t="s">
        <v>1572</v>
      </c>
      <c r="D793" s="1119"/>
      <c r="E793" s="306" t="s">
        <v>1569</v>
      </c>
      <c r="F793" s="1119"/>
      <c r="G793" s="1574"/>
      <c r="H793" s="1528">
        <v>10</v>
      </c>
      <c r="I793" s="1218">
        <v>6.13</v>
      </c>
      <c r="J793" s="1534">
        <v>29.95</v>
      </c>
      <c r="K793" s="1534">
        <v>60</v>
      </c>
      <c r="L793" s="1546">
        <v>368.12</v>
      </c>
      <c r="M793" s="1549">
        <v>1797</v>
      </c>
      <c r="N793" s="157"/>
    </row>
    <row r="794" spans="1:14" ht="15" thickBot="1">
      <c r="B794" s="21" t="s">
        <v>1550</v>
      </c>
      <c r="C794" s="241" t="s">
        <v>1573</v>
      </c>
      <c r="D794" s="1120"/>
      <c r="E794" s="308" t="s">
        <v>1571</v>
      </c>
      <c r="F794" s="1120"/>
      <c r="G794" s="1180"/>
      <c r="H794" s="1528"/>
      <c r="I794" s="1218"/>
      <c r="J794" s="1534"/>
      <c r="K794" s="1534"/>
      <c r="L794" s="1546"/>
      <c r="M794" s="1549"/>
      <c r="N794" s="157"/>
    </row>
    <row r="795" spans="1:14" ht="15" thickBot="1">
      <c r="C795" s="288" t="s">
        <v>1574</v>
      </c>
      <c r="D795" s="1118" t="s">
        <v>250</v>
      </c>
      <c r="E795" s="306" t="s">
        <v>1575</v>
      </c>
      <c r="F795" s="1118" t="s">
        <v>108</v>
      </c>
      <c r="G795" s="1179">
        <v>8.1</v>
      </c>
      <c r="H795" s="1242">
        <v>6</v>
      </c>
      <c r="I795" s="1576">
        <v>5.8120000000000003</v>
      </c>
      <c r="J795" s="1284">
        <v>26.6</v>
      </c>
      <c r="K795" s="1352">
        <v>60</v>
      </c>
      <c r="L795" s="1336">
        <v>348.72</v>
      </c>
      <c r="M795" s="1258">
        <v>1596.24</v>
      </c>
      <c r="N795" s="328"/>
    </row>
    <row r="796" spans="1:14" ht="15" thickBot="1">
      <c r="C796" s="252" t="s">
        <v>1576</v>
      </c>
      <c r="D796" s="1119"/>
      <c r="E796" s="319" t="s">
        <v>1577</v>
      </c>
      <c r="F796" s="1119"/>
      <c r="G796" s="1574"/>
      <c r="H796" s="1117"/>
      <c r="I796" s="1239"/>
      <c r="J796" s="1236"/>
      <c r="K796" s="1242"/>
      <c r="L796" s="1332"/>
      <c r="M796" s="1243"/>
      <c r="N796" s="328"/>
    </row>
    <row r="797" spans="1:14" ht="15" thickBot="1">
      <c r="B797" s="21" t="s">
        <v>1550</v>
      </c>
      <c r="C797" s="250" t="s">
        <v>1578</v>
      </c>
      <c r="D797" s="1119"/>
      <c r="E797" s="306" t="s">
        <v>1575</v>
      </c>
      <c r="F797" s="1119"/>
      <c r="G797" s="1574"/>
      <c r="H797" s="1117">
        <v>8</v>
      </c>
      <c r="I797" s="1238">
        <v>7.75</v>
      </c>
      <c r="J797" s="1236">
        <v>30.94</v>
      </c>
      <c r="K797" s="1241">
        <v>60</v>
      </c>
      <c r="L797" s="1189">
        <v>465</v>
      </c>
      <c r="M797" s="1150">
        <v>1856.29</v>
      </c>
      <c r="N797" s="328"/>
    </row>
    <row r="798" spans="1:14" ht="15" thickBot="1">
      <c r="B798" s="21" t="s">
        <v>1550</v>
      </c>
      <c r="C798" s="250" t="s">
        <v>1579</v>
      </c>
      <c r="D798" s="1120"/>
      <c r="E798" s="319" t="s">
        <v>1577</v>
      </c>
      <c r="F798" s="1120"/>
      <c r="G798" s="1180"/>
      <c r="H798" s="1117"/>
      <c r="I798" s="1239"/>
      <c r="J798" s="1236"/>
      <c r="K798" s="1242"/>
      <c r="L798" s="1332"/>
      <c r="M798" s="1243"/>
      <c r="N798" s="328"/>
    </row>
    <row r="799" spans="1:14" s="94" customFormat="1">
      <c r="A799" s="93"/>
      <c r="B799" s="21"/>
      <c r="C799" s="422" t="s">
        <v>247</v>
      </c>
      <c r="D799" s="243"/>
      <c r="E799" s="242"/>
      <c r="F799" s="243"/>
      <c r="G799" s="243"/>
      <c r="H799" s="243"/>
      <c r="I799" s="328"/>
      <c r="J799" s="328"/>
      <c r="K799" s="243"/>
      <c r="L799" s="328"/>
      <c r="M799" s="328"/>
      <c r="N799" s="328"/>
    </row>
    <row r="800" spans="1:14" s="94" customFormat="1" ht="15" thickBot="1">
      <c r="A800" s="93"/>
      <c r="B800" s="21"/>
      <c r="C800" s="404"/>
      <c r="D800" s="243"/>
      <c r="E800" s="242"/>
      <c r="F800" s="157"/>
      <c r="G800" s="574"/>
      <c r="H800" s="157"/>
      <c r="I800" s="159"/>
      <c r="J800" s="159"/>
      <c r="K800" s="157"/>
      <c r="L800" s="159"/>
      <c r="M800" s="159"/>
      <c r="N800" s="159"/>
    </row>
    <row r="801" spans="1:14" s="94" customFormat="1" ht="31.5" customHeight="1" thickBot="1">
      <c r="A801" s="93"/>
      <c r="B801" s="21"/>
      <c r="C801" s="161" t="s">
        <v>1580</v>
      </c>
      <c r="D801" s="22"/>
      <c r="E801" s="20"/>
      <c r="F801" s="22"/>
      <c r="G801" s="549"/>
      <c r="H801" s="1133" t="s">
        <v>101</v>
      </c>
      <c r="I801" s="1675"/>
      <c r="J801" s="1676"/>
      <c r="K801" s="1133" t="s">
        <v>102</v>
      </c>
      <c r="L801" s="1675"/>
      <c r="M801" s="1676"/>
      <c r="N801" s="26"/>
    </row>
    <row r="802" spans="1:14" s="94" customFormat="1" ht="15" customHeight="1" thickBot="1">
      <c r="A802" s="93"/>
      <c r="B802" s="515"/>
      <c r="C802" s="29" t="s">
        <v>103</v>
      </c>
      <c r="D802" s="32" t="s">
        <v>104</v>
      </c>
      <c r="E802" s="42" t="s">
        <v>105</v>
      </c>
      <c r="F802" s="32" t="s">
        <v>106</v>
      </c>
      <c r="G802" s="32" t="s">
        <v>107</v>
      </c>
      <c r="H802" s="1000" t="s">
        <v>108</v>
      </c>
      <c r="I802" s="406" t="s">
        <v>109</v>
      </c>
      <c r="J802" s="407" t="s">
        <v>110</v>
      </c>
      <c r="K802" s="405" t="s">
        <v>111</v>
      </c>
      <c r="L802" s="406" t="s">
        <v>109</v>
      </c>
      <c r="M802" s="407" t="s">
        <v>110</v>
      </c>
      <c r="N802" s="37"/>
    </row>
    <row r="803" spans="1:14" s="94" customFormat="1" ht="15" thickBot="1">
      <c r="A803" s="93"/>
      <c r="B803" s="515" t="s">
        <v>112</v>
      </c>
      <c r="C803" s="904" t="s">
        <v>1581</v>
      </c>
      <c r="D803" s="1118" t="s">
        <v>1582</v>
      </c>
      <c r="E803" s="905" t="s">
        <v>1583</v>
      </c>
      <c r="F803" s="1543" t="s">
        <v>109</v>
      </c>
      <c r="G803" s="1165">
        <v>1.86</v>
      </c>
      <c r="H803" s="1117">
        <v>6</v>
      </c>
      <c r="I803" s="1128">
        <v>13.08</v>
      </c>
      <c r="J803" s="1236">
        <v>49.6</v>
      </c>
      <c r="K803" s="1117">
        <v>60</v>
      </c>
      <c r="L803" s="1114">
        <v>784.69</v>
      </c>
      <c r="M803" s="1116">
        <v>2982.85</v>
      </c>
      <c r="N803" s="328"/>
    </row>
    <row r="804" spans="1:14" s="94" customFormat="1">
      <c r="A804" s="93"/>
      <c r="B804" s="511"/>
      <c r="C804" s="906" t="s">
        <v>1584</v>
      </c>
      <c r="D804" s="1119"/>
      <c r="E804" s="907" t="s">
        <v>1585</v>
      </c>
      <c r="F804" s="1544"/>
      <c r="G804" s="1697"/>
      <c r="H804" s="1686"/>
      <c r="I804" s="1686"/>
      <c r="J804" s="1739"/>
      <c r="K804" s="1686"/>
      <c r="L804" s="1687"/>
      <c r="M804" s="1689"/>
      <c r="N804" s="328"/>
    </row>
    <row r="805" spans="1:14">
      <c r="B805" s="51"/>
      <c r="C805" s="906" t="s">
        <v>1586</v>
      </c>
      <c r="D805" s="1119"/>
      <c r="E805" s="907" t="s">
        <v>1587</v>
      </c>
      <c r="F805" s="1544"/>
      <c r="G805" s="1697"/>
      <c r="H805" s="1686"/>
      <c r="I805" s="1686"/>
      <c r="J805" s="1739"/>
      <c r="K805" s="1686"/>
      <c r="L805" s="1687"/>
      <c r="M805" s="1689"/>
      <c r="N805" s="328"/>
    </row>
    <row r="806" spans="1:14" ht="15" thickBot="1">
      <c r="B806" s="51"/>
      <c r="C806" s="908" t="s">
        <v>1588</v>
      </c>
      <c r="D806" s="1120"/>
      <c r="E806" s="909" t="s">
        <v>1589</v>
      </c>
      <c r="F806" s="1545"/>
      <c r="G806" s="1700"/>
      <c r="H806" s="1690"/>
      <c r="I806" s="1690"/>
      <c r="J806" s="1738"/>
      <c r="K806" s="1690"/>
      <c r="L806" s="1692"/>
      <c r="M806" s="1694"/>
      <c r="N806" s="328"/>
    </row>
    <row r="807" spans="1:14" ht="15" thickBot="1">
      <c r="B807" s="516"/>
      <c r="C807" s="910"/>
      <c r="D807" s="80"/>
      <c r="E807" s="911"/>
      <c r="F807" s="157"/>
      <c r="G807" s="575"/>
      <c r="H807" s="270"/>
      <c r="I807" s="381"/>
      <c r="J807" s="381"/>
      <c r="K807" s="270"/>
      <c r="L807" s="381"/>
      <c r="M807" s="381"/>
      <c r="N807" s="328"/>
    </row>
    <row r="808" spans="1:14" s="94" customFormat="1" ht="31.5" customHeight="1" thickBot="1">
      <c r="A808" s="93"/>
      <c r="B808" s="21"/>
      <c r="C808" s="161" t="s">
        <v>1590</v>
      </c>
      <c r="D808" s="22"/>
      <c r="E808" s="20"/>
      <c r="F808" s="22"/>
      <c r="G808" s="549"/>
      <c r="H808" s="1133" t="s">
        <v>101</v>
      </c>
      <c r="I808" s="1675"/>
      <c r="J808" s="1676"/>
      <c r="K808" s="1133" t="s">
        <v>102</v>
      </c>
      <c r="L808" s="1675"/>
      <c r="M808" s="1676"/>
      <c r="N808" s="26"/>
    </row>
    <row r="809" spans="1:14" s="94" customFormat="1" ht="15" customHeight="1" thickBot="1">
      <c r="A809" s="93"/>
      <c r="B809" s="511"/>
      <c r="C809" s="28" t="s">
        <v>103</v>
      </c>
      <c r="D809" s="32" t="s">
        <v>104</v>
      </c>
      <c r="E809" s="30" t="s">
        <v>105</v>
      </c>
      <c r="F809" s="32" t="s">
        <v>106</v>
      </c>
      <c r="G809" s="32" t="s">
        <v>107</v>
      </c>
      <c r="H809" s="33" t="s">
        <v>108</v>
      </c>
      <c r="I809" s="34" t="s">
        <v>109</v>
      </c>
      <c r="J809" s="36" t="s">
        <v>110</v>
      </c>
      <c r="K809" s="53" t="s">
        <v>111</v>
      </c>
      <c r="L809" s="34" t="s">
        <v>109</v>
      </c>
      <c r="M809" s="36" t="s">
        <v>110</v>
      </c>
      <c r="N809" s="37"/>
    </row>
    <row r="810" spans="1:14" s="94" customFormat="1" ht="15" thickBot="1">
      <c r="A810" s="93"/>
      <c r="B810" s="21" t="s">
        <v>112</v>
      </c>
      <c r="C810" s="250" t="s">
        <v>1591</v>
      </c>
      <c r="D810" s="1118" t="s">
        <v>125</v>
      </c>
      <c r="E810" s="250" t="s">
        <v>1592</v>
      </c>
      <c r="F810" s="1446" t="s">
        <v>109</v>
      </c>
      <c r="G810" s="1165">
        <v>2.88</v>
      </c>
      <c r="H810" s="1241">
        <v>6</v>
      </c>
      <c r="I810" s="1128">
        <v>15.112500000000001</v>
      </c>
      <c r="J810" s="1485">
        <v>66.311999999999998</v>
      </c>
      <c r="K810" s="1241">
        <v>36</v>
      </c>
      <c r="L810" s="1189">
        <v>544.04999999999995</v>
      </c>
      <c r="M810" s="1150">
        <v>2387.23</v>
      </c>
      <c r="N810" s="328"/>
    </row>
    <row r="811" spans="1:14" s="94" customFormat="1">
      <c r="A811" s="93"/>
      <c r="B811" s="21"/>
      <c r="C811" s="251" t="s">
        <v>1593</v>
      </c>
      <c r="D811" s="1119"/>
      <c r="E811" s="251" t="s">
        <v>1594</v>
      </c>
      <c r="F811" s="1447"/>
      <c r="G811" s="1697"/>
      <c r="H811" s="1686"/>
      <c r="I811" s="1686"/>
      <c r="J811" s="1739"/>
      <c r="K811" s="1686"/>
      <c r="L811" s="1687"/>
      <c r="M811" s="1689"/>
      <c r="N811" s="328"/>
    </row>
    <row r="812" spans="1:14">
      <c r="C812" s="251" t="s">
        <v>1595</v>
      </c>
      <c r="D812" s="1119"/>
      <c r="E812" s="251" t="s">
        <v>1596</v>
      </c>
      <c r="F812" s="1447"/>
      <c r="G812" s="1697"/>
      <c r="H812" s="1686"/>
      <c r="I812" s="1686"/>
      <c r="J812" s="1739"/>
      <c r="K812" s="1686"/>
      <c r="L812" s="1687"/>
      <c r="M812" s="1689"/>
      <c r="N812" s="328"/>
    </row>
    <row r="813" spans="1:14" ht="15" thickBot="1">
      <c r="C813" s="269" t="s">
        <v>1597</v>
      </c>
      <c r="D813" s="1119"/>
      <c r="E813" s="261" t="s">
        <v>1598</v>
      </c>
      <c r="F813" s="1447"/>
      <c r="G813" s="1697"/>
      <c r="H813" s="1686"/>
      <c r="I813" s="1690"/>
      <c r="J813" s="1739"/>
      <c r="K813" s="1686"/>
      <c r="L813" s="1687"/>
      <c r="M813" s="1689"/>
      <c r="N813" s="328"/>
    </row>
    <row r="814" spans="1:14" s="94" customFormat="1" ht="15" thickBot="1">
      <c r="A814" s="93"/>
      <c r="B814" s="885" t="s">
        <v>1550</v>
      </c>
      <c r="C814" s="898" t="s">
        <v>1599</v>
      </c>
      <c r="D814" s="1119"/>
      <c r="E814" s="251" t="s">
        <v>1594</v>
      </c>
      <c r="F814" s="1448"/>
      <c r="G814" s="1697"/>
      <c r="H814" s="1142">
        <v>7</v>
      </c>
      <c r="I814" s="1128">
        <v>17.377700000000001</v>
      </c>
      <c r="J814" s="1249">
        <f>M814/48</f>
        <v>60.501041666666673</v>
      </c>
      <c r="K814" s="1142">
        <v>48</v>
      </c>
      <c r="L814" s="1219">
        <v>834.13</v>
      </c>
      <c r="M814" s="1249">
        <v>2904.05</v>
      </c>
      <c r="N814" s="328"/>
    </row>
    <row r="815" spans="1:14">
      <c r="C815" s="899" t="s">
        <v>1600</v>
      </c>
      <c r="D815" s="1119"/>
      <c r="E815" s="251" t="s">
        <v>1596</v>
      </c>
      <c r="F815" s="1448"/>
      <c r="G815" s="1697"/>
      <c r="H815" s="1686"/>
      <c r="I815" s="1686"/>
      <c r="J815" s="1689"/>
      <c r="K815" s="1686"/>
      <c r="L815" s="1687"/>
      <c r="M815" s="1689"/>
      <c r="N815" s="328"/>
    </row>
    <row r="816" spans="1:14" ht="15" thickBot="1">
      <c r="C816" s="900" t="s">
        <v>1601</v>
      </c>
      <c r="D816" s="1120"/>
      <c r="E816" s="261" t="s">
        <v>1598</v>
      </c>
      <c r="F816" s="1449"/>
      <c r="G816" s="1700"/>
      <c r="H816" s="1691"/>
      <c r="I816" s="1690"/>
      <c r="J816" s="1705"/>
      <c r="K816" s="1691"/>
      <c r="L816" s="1718"/>
      <c r="M816" s="1705"/>
      <c r="N816" s="328"/>
    </row>
    <row r="817" spans="2:14" ht="15" customHeight="1">
      <c r="C817" s="422" t="s">
        <v>247</v>
      </c>
      <c r="E817" s="242"/>
      <c r="F817" s="80"/>
      <c r="G817" s="243"/>
      <c r="H817" s="80"/>
      <c r="I817" s="80"/>
      <c r="J817" s="80"/>
      <c r="K817" s="80"/>
      <c r="L817" s="80"/>
      <c r="M817" s="80"/>
      <c r="N817" s="80"/>
    </row>
    <row r="818" spans="2:14" ht="15" thickBot="1">
      <c r="C818" s="256"/>
      <c r="D818" s="243"/>
      <c r="E818" s="162"/>
      <c r="F818" s="243"/>
      <c r="G818" s="323"/>
      <c r="H818" s="243"/>
      <c r="I818" s="328"/>
      <c r="J818" s="328"/>
      <c r="K818" s="243"/>
      <c r="L818" s="328"/>
      <c r="M818" s="328"/>
      <c r="N818" s="328"/>
    </row>
    <row r="819" spans="2:14" ht="31.5" customHeight="1" thickBot="1">
      <c r="B819" s="25"/>
      <c r="C819" s="63" t="s">
        <v>1602</v>
      </c>
      <c r="D819" s="230"/>
      <c r="G819" s="549"/>
      <c r="H819" s="1133" t="s">
        <v>101</v>
      </c>
      <c r="I819" s="1675"/>
      <c r="J819" s="1676"/>
      <c r="K819" s="1133" t="s">
        <v>102</v>
      </c>
      <c r="L819" s="1675"/>
      <c r="M819" s="1676"/>
      <c r="N819" s="26"/>
    </row>
    <row r="820" spans="2:14" ht="15" customHeight="1" thickBot="1">
      <c r="C820" s="28" t="s">
        <v>103</v>
      </c>
      <c r="D820" s="32" t="s">
        <v>104</v>
      </c>
      <c r="E820" s="30" t="s">
        <v>105</v>
      </c>
      <c r="F820" s="31" t="s">
        <v>106</v>
      </c>
      <c r="G820" s="32" t="s">
        <v>107</v>
      </c>
      <c r="H820" s="43" t="s">
        <v>108</v>
      </c>
      <c r="I820" s="44" t="s">
        <v>109</v>
      </c>
      <c r="J820" s="55" t="s">
        <v>110</v>
      </c>
      <c r="K820" s="43" t="s">
        <v>111</v>
      </c>
      <c r="L820" s="44" t="s">
        <v>109</v>
      </c>
      <c r="M820" s="55" t="s">
        <v>110</v>
      </c>
      <c r="N820" s="37"/>
    </row>
    <row r="821" spans="2:14" ht="16.5" customHeight="1" thickBot="1">
      <c r="B821" s="21" t="s">
        <v>213</v>
      </c>
      <c r="C821" s="81" t="s">
        <v>1603</v>
      </c>
      <c r="D821" s="1259" t="s">
        <v>178</v>
      </c>
      <c r="E821" s="57" t="s">
        <v>1604</v>
      </c>
      <c r="F821" s="1118" t="s">
        <v>109</v>
      </c>
      <c r="G821" s="1170">
        <v>3.9</v>
      </c>
      <c r="H821" s="1117">
        <v>50</v>
      </c>
      <c r="I821" s="1128">
        <v>11.41</v>
      </c>
      <c r="J821" s="1116">
        <v>25.6</v>
      </c>
      <c r="K821" s="1117">
        <v>70</v>
      </c>
      <c r="L821" s="1114">
        <v>798.68</v>
      </c>
      <c r="M821" s="1116">
        <v>1792</v>
      </c>
      <c r="N821" s="328"/>
    </row>
    <row r="822" spans="2:14" ht="16.5" customHeight="1" thickBot="1">
      <c r="B822" s="51"/>
      <c r="C822" s="234" t="s">
        <v>1605</v>
      </c>
      <c r="D822" s="1260"/>
      <c r="E822" s="235" t="s">
        <v>1606</v>
      </c>
      <c r="F822" s="1119"/>
      <c r="G822" s="1700"/>
      <c r="H822" s="1686"/>
      <c r="I822" s="1686"/>
      <c r="J822" s="1689"/>
      <c r="K822" s="1686"/>
      <c r="L822" s="1687"/>
      <c r="M822" s="1689"/>
      <c r="N822" s="328"/>
    </row>
    <row r="823" spans="2:14" ht="16.5" customHeight="1" thickBot="1">
      <c r="B823" s="51"/>
      <c r="C823" s="58" t="s">
        <v>1607</v>
      </c>
      <c r="D823" s="1260"/>
      <c r="E823" s="59" t="s">
        <v>1608</v>
      </c>
      <c r="F823" s="1119"/>
      <c r="G823" s="1170">
        <v>5.28</v>
      </c>
      <c r="H823" s="1686"/>
      <c r="I823" s="1686"/>
      <c r="J823" s="1689"/>
      <c r="K823" s="1686"/>
      <c r="L823" s="1687"/>
      <c r="M823" s="1689"/>
      <c r="N823" s="328"/>
    </row>
    <row r="824" spans="2:14" ht="16.5" customHeight="1">
      <c r="B824" s="51"/>
      <c r="C824" s="58" t="s">
        <v>1609</v>
      </c>
      <c r="D824" s="1260"/>
      <c r="E824" s="59" t="s">
        <v>1610</v>
      </c>
      <c r="F824" s="1119"/>
      <c r="G824" s="1697"/>
      <c r="H824" s="1686"/>
      <c r="I824" s="1686"/>
      <c r="J824" s="1689"/>
      <c r="K824" s="1686"/>
      <c r="L824" s="1687"/>
      <c r="M824" s="1689"/>
      <c r="N824" s="328"/>
    </row>
    <row r="825" spans="2:14" ht="15.75" customHeight="1" thickBot="1">
      <c r="B825" s="51"/>
      <c r="C825" s="60" t="s">
        <v>1611</v>
      </c>
      <c r="D825" s="1261"/>
      <c r="E825" s="61" t="s">
        <v>1612</v>
      </c>
      <c r="F825" s="1120"/>
      <c r="G825" s="1700"/>
      <c r="H825" s="1690"/>
      <c r="I825" s="1690"/>
      <c r="J825" s="1694"/>
      <c r="K825" s="1690"/>
      <c r="L825" s="1692"/>
      <c r="M825" s="1694"/>
      <c r="N825" s="328"/>
    </row>
    <row r="826" spans="2:14" ht="15" customHeight="1" thickBot="1">
      <c r="C826" s="256"/>
      <c r="D826" s="243"/>
      <c r="E826" s="162"/>
      <c r="F826" s="243"/>
      <c r="G826" s="323"/>
      <c r="H826" s="243"/>
      <c r="I826" s="328"/>
      <c r="J826" s="328"/>
      <c r="K826" s="243"/>
      <c r="L826" s="328"/>
      <c r="M826" s="328"/>
      <c r="N826" s="328"/>
    </row>
    <row r="827" spans="2:14" ht="32.1" customHeight="1" thickBot="1">
      <c r="B827" s="25"/>
      <c r="C827" s="63" t="s">
        <v>1613</v>
      </c>
      <c r="D827" s="230"/>
      <c r="G827" s="549"/>
      <c r="H827" s="1133" t="s">
        <v>101</v>
      </c>
      <c r="I827" s="1675"/>
      <c r="J827" s="1676"/>
      <c r="K827" s="1133" t="s">
        <v>102</v>
      </c>
      <c r="L827" s="1675"/>
      <c r="M827" s="1676"/>
      <c r="N827" s="26"/>
    </row>
    <row r="828" spans="2:14" ht="15" customHeight="1" thickBot="1">
      <c r="C828" s="29" t="s">
        <v>103</v>
      </c>
      <c r="D828" s="32" t="s">
        <v>104</v>
      </c>
      <c r="E828" s="42" t="s">
        <v>105</v>
      </c>
      <c r="F828" s="31" t="s">
        <v>106</v>
      </c>
      <c r="G828" s="31" t="s">
        <v>107</v>
      </c>
      <c r="H828" s="43" t="s">
        <v>108</v>
      </c>
      <c r="I828" s="44" t="s">
        <v>109</v>
      </c>
      <c r="J828" s="55" t="s">
        <v>110</v>
      </c>
      <c r="K828" s="43" t="s">
        <v>111</v>
      </c>
      <c r="L828" s="44" t="s">
        <v>109</v>
      </c>
      <c r="M828" s="55" t="s">
        <v>110</v>
      </c>
      <c r="N828" s="37"/>
    </row>
    <row r="829" spans="2:14" ht="15" customHeight="1" thickBot="1">
      <c r="B829" s="20"/>
      <c r="C829" s="250" t="s">
        <v>1614</v>
      </c>
      <c r="D829" s="1259" t="s">
        <v>1062</v>
      </c>
      <c r="E829" s="250" t="s">
        <v>1615</v>
      </c>
      <c r="F829" s="1118" t="s">
        <v>109</v>
      </c>
      <c r="G829" s="551">
        <v>2.27</v>
      </c>
      <c r="H829" s="1154">
        <v>44</v>
      </c>
      <c r="I829" s="1484">
        <v>10.76</v>
      </c>
      <c r="J829" s="1154">
        <f>M829/K829</f>
        <v>47.563939393939393</v>
      </c>
      <c r="K829" s="1154">
        <v>66</v>
      </c>
      <c r="L829" s="1154">
        <v>710.02800000000002</v>
      </c>
      <c r="M829" s="1154">
        <v>3139.22</v>
      </c>
      <c r="N829" s="328"/>
    </row>
    <row r="830" spans="2:14" ht="15.95" customHeight="1" thickBot="1">
      <c r="B830" s="20"/>
      <c r="C830" s="252" t="s">
        <v>1616</v>
      </c>
      <c r="D830" s="1260"/>
      <c r="E830" s="252" t="s">
        <v>1617</v>
      </c>
      <c r="F830" s="1119"/>
      <c r="G830" s="957">
        <v>2.39</v>
      </c>
      <c r="H830" s="1740"/>
      <c r="I830" s="1740"/>
      <c r="J830" s="1740"/>
      <c r="K830" s="1740"/>
      <c r="L830" s="1740"/>
      <c r="M830" s="1740"/>
      <c r="N830" s="328"/>
    </row>
    <row r="831" spans="2:14" ht="29.45" customHeight="1" thickBot="1">
      <c r="B831" s="960" t="s">
        <v>1618</v>
      </c>
      <c r="C831" s="252" t="s">
        <v>1619</v>
      </c>
      <c r="D831" s="1260"/>
      <c r="E831" s="252" t="s">
        <v>1620</v>
      </c>
      <c r="F831" s="1119"/>
      <c r="G831" s="551">
        <v>2.39</v>
      </c>
      <c r="H831" s="1740"/>
      <c r="I831" s="1740"/>
      <c r="J831" s="1740"/>
      <c r="K831" s="1740"/>
      <c r="L831" s="1740"/>
      <c r="M831" s="1740"/>
      <c r="N831" s="328"/>
    </row>
    <row r="832" spans="2:14" ht="29.45" customHeight="1" thickBot="1">
      <c r="B832" s="960" t="s">
        <v>1618</v>
      </c>
      <c r="C832" s="252" t="s">
        <v>1621</v>
      </c>
      <c r="D832" s="1260"/>
      <c r="E832" s="252" t="s">
        <v>1622</v>
      </c>
      <c r="F832" s="1119"/>
      <c r="G832" s="551">
        <v>2.5</v>
      </c>
      <c r="H832" s="1740"/>
      <c r="I832" s="1740"/>
      <c r="J832" s="1740"/>
      <c r="K832" s="1740"/>
      <c r="L832" s="1740"/>
      <c r="M832" s="1740"/>
      <c r="N832" s="328"/>
    </row>
    <row r="833" spans="2:14" ht="29.45" customHeight="1" thickBot="1">
      <c r="B833" s="960" t="s">
        <v>1618</v>
      </c>
      <c r="C833" s="265" t="s">
        <v>1623</v>
      </c>
      <c r="D833" s="1499"/>
      <c r="E833" s="265" t="s">
        <v>1624</v>
      </c>
      <c r="F833" s="1119"/>
      <c r="G833" s="551">
        <v>2.63</v>
      </c>
      <c r="H833" s="1741"/>
      <c r="I833" s="1741"/>
      <c r="J833" s="1741"/>
      <c r="K833" s="1741"/>
      <c r="L833" s="1741"/>
      <c r="M833" s="1741"/>
      <c r="N833" s="328"/>
    </row>
    <row r="834" spans="2:14" ht="14.1" customHeight="1" thickBot="1">
      <c r="B834" s="20"/>
      <c r="C834" s="959" t="s">
        <v>1625</v>
      </c>
      <c r="D834" s="1420" t="s">
        <v>1626</v>
      </c>
      <c r="E834" s="959" t="s">
        <v>1627</v>
      </c>
      <c r="F834" s="1356" t="s">
        <v>108</v>
      </c>
      <c r="G834" s="1291">
        <v>3.23</v>
      </c>
      <c r="H834" s="1147">
        <v>10</v>
      </c>
      <c r="I834" s="1154">
        <v>0.42</v>
      </c>
      <c r="J834" s="1147">
        <f>M834/K834</f>
        <v>0.51</v>
      </c>
      <c r="K834" s="1147">
        <v>4900</v>
      </c>
      <c r="L834" s="1147">
        <v>2043.3</v>
      </c>
      <c r="M834" s="1147">
        <v>2499</v>
      </c>
      <c r="N834" s="328"/>
    </row>
    <row r="835" spans="2:14" ht="15" customHeight="1" thickBot="1">
      <c r="B835" s="20"/>
      <c r="C835" s="959" t="s">
        <v>1628</v>
      </c>
      <c r="D835" s="1421"/>
      <c r="E835" s="959" t="s">
        <v>1629</v>
      </c>
      <c r="F835" s="1356"/>
      <c r="G835" s="1740"/>
      <c r="H835" s="1740"/>
      <c r="I835" s="1740"/>
      <c r="J835" s="1740"/>
      <c r="K835" s="1740"/>
      <c r="L835" s="1740"/>
      <c r="M835" s="1740"/>
      <c r="N835" s="328"/>
    </row>
    <row r="836" spans="2:14" ht="29.45" customHeight="1" thickBot="1">
      <c r="B836" s="960" t="s">
        <v>1630</v>
      </c>
      <c r="C836" s="959" t="s">
        <v>1631</v>
      </c>
      <c r="D836" s="1421"/>
      <c r="E836" s="959" t="s">
        <v>1632</v>
      </c>
      <c r="F836" s="1356"/>
      <c r="G836" s="1740"/>
      <c r="H836" s="1740"/>
      <c r="I836" s="1740"/>
      <c r="J836" s="1740"/>
      <c r="K836" s="1740"/>
      <c r="L836" s="1740"/>
      <c r="M836" s="1740"/>
      <c r="N836" s="328"/>
    </row>
    <row r="837" spans="2:14" ht="29.45" customHeight="1" thickBot="1">
      <c r="B837" s="960" t="s">
        <v>1630</v>
      </c>
      <c r="C837" s="959" t="s">
        <v>1633</v>
      </c>
      <c r="D837" s="1421"/>
      <c r="E837" s="959" t="s">
        <v>1634</v>
      </c>
      <c r="F837" s="1356"/>
      <c r="G837" s="1740"/>
      <c r="H837" s="1740"/>
      <c r="I837" s="1740"/>
      <c r="J837" s="1740"/>
      <c r="K837" s="1740"/>
      <c r="L837" s="1740"/>
      <c r="M837" s="1740"/>
      <c r="N837" s="328"/>
    </row>
    <row r="838" spans="2:14" ht="29.45" customHeight="1" thickBot="1">
      <c r="B838" s="960" t="s">
        <v>1630</v>
      </c>
      <c r="C838" s="959" t="s">
        <v>1635</v>
      </c>
      <c r="D838" s="1421"/>
      <c r="E838" s="959" t="s">
        <v>1636</v>
      </c>
      <c r="F838" s="1356"/>
      <c r="G838" s="1740"/>
      <c r="H838" s="1740"/>
      <c r="I838" s="1740"/>
      <c r="J838" s="1740"/>
      <c r="K838" s="1740"/>
      <c r="L838" s="1740"/>
      <c r="M838" s="1740"/>
      <c r="N838" s="328"/>
    </row>
    <row r="839" spans="2:14" ht="29.45" customHeight="1" thickBot="1">
      <c r="B839" s="960" t="s">
        <v>1630</v>
      </c>
      <c r="C839" s="959" t="s">
        <v>1637</v>
      </c>
      <c r="D839" s="1147"/>
      <c r="E839" s="959" t="s">
        <v>1638</v>
      </c>
      <c r="F839" s="1356"/>
      <c r="G839" s="1741"/>
      <c r="H839" s="1741"/>
      <c r="I839" s="1741"/>
      <c r="J839" s="1741"/>
      <c r="K839" s="1741"/>
      <c r="L839" s="1741"/>
      <c r="M839" s="1741"/>
      <c r="N839" s="328"/>
    </row>
    <row r="840" spans="2:14" ht="15" customHeight="1" thickBot="1">
      <c r="B840" s="20"/>
      <c r="C840" s="959" t="s">
        <v>1639</v>
      </c>
      <c r="D840" s="1420" t="s">
        <v>1640</v>
      </c>
      <c r="E840" s="959" t="s">
        <v>1641</v>
      </c>
      <c r="F840" s="1357"/>
      <c r="G840" s="1488">
        <v>2.99</v>
      </c>
      <c r="H840" s="1147">
        <v>12</v>
      </c>
      <c r="I840" s="1154">
        <v>2.91</v>
      </c>
      <c r="J840" s="1147">
        <f>M840/K840</f>
        <v>17.603999999999999</v>
      </c>
      <c r="K840" s="1147">
        <v>210</v>
      </c>
      <c r="L840" s="1147">
        <v>610.09199999999998</v>
      </c>
      <c r="M840" s="1147">
        <v>3696.84</v>
      </c>
      <c r="N840" s="328"/>
    </row>
    <row r="841" spans="2:14" ht="15.75" customHeight="1" thickBot="1">
      <c r="B841" s="20"/>
      <c r="C841" s="959" t="s">
        <v>1642</v>
      </c>
      <c r="D841" s="1421"/>
      <c r="E841" s="959" t="s">
        <v>1643</v>
      </c>
      <c r="F841" s="1357"/>
      <c r="G841" s="1740"/>
      <c r="H841" s="1740"/>
      <c r="I841" s="1740"/>
      <c r="J841" s="1740"/>
      <c r="K841" s="1740"/>
      <c r="L841" s="1740"/>
      <c r="M841" s="1740"/>
      <c r="N841" s="328"/>
    </row>
    <row r="842" spans="2:14" ht="29.45" customHeight="1" thickBot="1">
      <c r="B842" s="960" t="s">
        <v>1630</v>
      </c>
      <c r="C842" s="959" t="s">
        <v>1644</v>
      </c>
      <c r="D842" s="1421"/>
      <c r="E842" s="959" t="s">
        <v>1645</v>
      </c>
      <c r="F842" s="1357"/>
      <c r="G842" s="1740"/>
      <c r="H842" s="1740"/>
      <c r="I842" s="1740"/>
      <c r="J842" s="1740"/>
      <c r="K842" s="1740"/>
      <c r="L842" s="1740"/>
      <c r="M842" s="1740"/>
      <c r="N842" s="328"/>
    </row>
    <row r="843" spans="2:14" ht="29.45" customHeight="1" thickBot="1">
      <c r="B843" s="960" t="s">
        <v>1630</v>
      </c>
      <c r="C843" s="959" t="s">
        <v>1646</v>
      </c>
      <c r="D843" s="1421"/>
      <c r="E843" s="959" t="s">
        <v>1647</v>
      </c>
      <c r="F843" s="1357"/>
      <c r="G843" s="1740"/>
      <c r="H843" s="1740"/>
      <c r="I843" s="1740"/>
      <c r="J843" s="1740"/>
      <c r="K843" s="1740"/>
      <c r="L843" s="1740"/>
      <c r="M843" s="1740"/>
      <c r="N843" s="328"/>
    </row>
    <row r="844" spans="2:14" ht="29.45" customHeight="1" thickBot="1">
      <c r="B844" s="960" t="s">
        <v>1630</v>
      </c>
      <c r="C844" s="959" t="s">
        <v>1648</v>
      </c>
      <c r="D844" s="1147"/>
      <c r="E844" s="959" t="s">
        <v>1649</v>
      </c>
      <c r="F844" s="1357"/>
      <c r="G844" s="1741"/>
      <c r="H844" s="1741"/>
      <c r="I844" s="1741"/>
      <c r="J844" s="1741"/>
      <c r="K844" s="1741"/>
      <c r="L844" s="1741"/>
      <c r="M844" s="1741"/>
      <c r="N844" s="328"/>
    </row>
    <row r="845" spans="2:14" ht="15" customHeight="1" thickBot="1">
      <c r="C845" s="256"/>
      <c r="D845" s="243"/>
      <c r="E845" s="242"/>
      <c r="F845" s="243"/>
      <c r="G845" s="80"/>
      <c r="H845" s="80"/>
      <c r="I845" s="154"/>
      <c r="J845" s="80"/>
      <c r="K845" s="80"/>
      <c r="L845" s="80"/>
      <c r="M845" s="80"/>
      <c r="N845" s="80"/>
    </row>
    <row r="846" spans="2:14" ht="32.1" customHeight="1" thickBot="1">
      <c r="C846" s="63" t="s">
        <v>1650</v>
      </c>
      <c r="G846" s="549"/>
      <c r="H846" s="1133" t="s">
        <v>101</v>
      </c>
      <c r="I846" s="1675"/>
      <c r="J846" s="1676"/>
      <c r="K846" s="1133" t="s">
        <v>102</v>
      </c>
      <c r="L846" s="1675"/>
      <c r="M846" s="1676"/>
      <c r="N846" s="26"/>
    </row>
    <row r="847" spans="2:14" ht="15" customHeight="1" thickBot="1">
      <c r="C847" s="29" t="s">
        <v>103</v>
      </c>
      <c r="D847" s="31" t="s">
        <v>104</v>
      </c>
      <c r="E847" s="42" t="s">
        <v>105</v>
      </c>
      <c r="F847" s="31" t="s">
        <v>106</v>
      </c>
      <c r="G847" s="32" t="s">
        <v>107</v>
      </c>
      <c r="H847" s="43" t="s">
        <v>108</v>
      </c>
      <c r="I847" s="44" t="s">
        <v>109</v>
      </c>
      <c r="J847" s="55" t="s">
        <v>110</v>
      </c>
      <c r="K847" s="43" t="s">
        <v>111</v>
      </c>
      <c r="L847" s="44" t="s">
        <v>109</v>
      </c>
      <c r="M847" s="55" t="s">
        <v>110</v>
      </c>
      <c r="N847" s="37"/>
    </row>
    <row r="848" spans="2:14" ht="15" thickBot="1">
      <c r="B848" s="21" t="s">
        <v>213</v>
      </c>
      <c r="C848" s="75" t="s">
        <v>1651</v>
      </c>
      <c r="D848" s="1118" t="s">
        <v>178</v>
      </c>
      <c r="E848" s="68" t="s">
        <v>1652</v>
      </c>
      <c r="F848" s="1333" t="s">
        <v>109</v>
      </c>
      <c r="G848" s="1215">
        <v>3</v>
      </c>
      <c r="H848" s="1160">
        <v>50</v>
      </c>
      <c r="I848" s="1244">
        <v>12.58</v>
      </c>
      <c r="J848" s="1495">
        <v>29.8</v>
      </c>
      <c r="K848" s="1160">
        <v>99</v>
      </c>
      <c r="L848" s="1114">
        <v>1246.33</v>
      </c>
      <c r="M848" s="1274">
        <v>2950.2</v>
      </c>
      <c r="N848" s="159"/>
    </row>
    <row r="849" spans="2:14">
      <c r="C849" s="273" t="s">
        <v>1653</v>
      </c>
      <c r="D849" s="1119"/>
      <c r="E849" s="71" t="s">
        <v>1654</v>
      </c>
      <c r="F849" s="1334"/>
      <c r="G849" s="1697"/>
      <c r="H849" s="1686"/>
      <c r="I849" s="1686"/>
      <c r="J849" s="1680"/>
      <c r="K849" s="1686"/>
      <c r="L849" s="1687"/>
      <c r="M849" s="1689"/>
      <c r="N849" s="159"/>
    </row>
    <row r="850" spans="2:14">
      <c r="C850" s="76" t="s">
        <v>1655</v>
      </c>
      <c r="D850" s="1119"/>
      <c r="E850" s="69" t="s">
        <v>1656</v>
      </c>
      <c r="F850" s="1334"/>
      <c r="G850" s="1697"/>
      <c r="H850" s="1686"/>
      <c r="I850" s="1686"/>
      <c r="J850" s="1680"/>
      <c r="K850" s="1686"/>
      <c r="L850" s="1687"/>
      <c r="M850" s="1689"/>
      <c r="N850" s="159"/>
    </row>
    <row r="851" spans="2:14">
      <c r="C851" s="76" t="s">
        <v>1657</v>
      </c>
      <c r="D851" s="1119"/>
      <c r="E851" s="69" t="s">
        <v>1658</v>
      </c>
      <c r="F851" s="1334"/>
      <c r="G851" s="1697"/>
      <c r="H851" s="1686"/>
      <c r="I851" s="1686"/>
      <c r="J851" s="1680"/>
      <c r="K851" s="1686"/>
      <c r="L851" s="1687"/>
      <c r="M851" s="1689"/>
      <c r="N851" s="159"/>
    </row>
    <row r="852" spans="2:14">
      <c r="C852" s="76" t="s">
        <v>1659</v>
      </c>
      <c r="D852" s="1119"/>
      <c r="E852" s="69" t="s">
        <v>1660</v>
      </c>
      <c r="F852" s="1334"/>
      <c r="G852" s="1719"/>
      <c r="H852" s="1686"/>
      <c r="I852" s="1686"/>
      <c r="J852" s="1680"/>
      <c r="K852" s="1686"/>
      <c r="L852" s="1687"/>
      <c r="M852" s="1689"/>
      <c r="N852" s="159"/>
    </row>
    <row r="853" spans="2:14" ht="15" thickBot="1">
      <c r="C853" s="76" t="s">
        <v>1661</v>
      </c>
      <c r="D853" s="1119"/>
      <c r="E853" s="69" t="s">
        <v>1662</v>
      </c>
      <c r="F853" s="1334"/>
      <c r="G853" s="1174">
        <v>4.8</v>
      </c>
      <c r="H853" s="1686"/>
      <c r="I853" s="1686"/>
      <c r="J853" s="1680"/>
      <c r="K853" s="1686"/>
      <c r="L853" s="1687"/>
      <c r="M853" s="1689"/>
      <c r="N853" s="159"/>
    </row>
    <row r="854" spans="2:14">
      <c r="C854" s="76" t="s">
        <v>1663</v>
      </c>
      <c r="D854" s="1119"/>
      <c r="E854" s="69" t="s">
        <v>1664</v>
      </c>
      <c r="F854" s="1334"/>
      <c r="G854" s="1697"/>
      <c r="H854" s="1686"/>
      <c r="I854" s="1686"/>
      <c r="J854" s="1680"/>
      <c r="K854" s="1686"/>
      <c r="L854" s="1687"/>
      <c r="M854" s="1689"/>
      <c r="N854" s="159"/>
    </row>
    <row r="855" spans="2:14">
      <c r="C855" s="77" t="s">
        <v>1665</v>
      </c>
      <c r="D855" s="1119"/>
      <c r="E855" s="70" t="s">
        <v>1666</v>
      </c>
      <c r="F855" s="1334"/>
      <c r="G855" s="1697"/>
      <c r="H855" s="1686"/>
      <c r="I855" s="1686"/>
      <c r="J855" s="1680"/>
      <c r="K855" s="1686"/>
      <c r="L855" s="1687"/>
      <c r="M855" s="1689"/>
      <c r="N855" s="159"/>
    </row>
    <row r="856" spans="2:14">
      <c r="C856" s="77" t="s">
        <v>1667</v>
      </c>
      <c r="D856" s="1119"/>
      <c r="E856" s="70" t="s">
        <v>1668</v>
      </c>
      <c r="F856" s="1334"/>
      <c r="G856" s="1697"/>
      <c r="H856" s="1686"/>
      <c r="I856" s="1686"/>
      <c r="J856" s="1680"/>
      <c r="K856" s="1686"/>
      <c r="L856" s="1687"/>
      <c r="M856" s="1689"/>
      <c r="N856" s="159"/>
    </row>
    <row r="857" spans="2:14" ht="15" thickBot="1">
      <c r="C857" s="311" t="s">
        <v>1669</v>
      </c>
      <c r="D857" s="1120"/>
      <c r="E857" s="72" t="s">
        <v>1670</v>
      </c>
      <c r="F857" s="1335"/>
      <c r="G857" s="1700"/>
      <c r="H857" s="1690"/>
      <c r="I857" s="1690"/>
      <c r="J857" s="1681"/>
      <c r="K857" s="1690"/>
      <c r="L857" s="1692"/>
      <c r="M857" s="1694"/>
      <c r="N857" s="159"/>
    </row>
    <row r="858" spans="2:14" ht="15" thickBot="1">
      <c r="B858" s="21" t="s">
        <v>213</v>
      </c>
      <c r="C858" s="272" t="s">
        <v>1671</v>
      </c>
      <c r="D858" s="1118" t="s">
        <v>178</v>
      </c>
      <c r="E858" s="68" t="s">
        <v>1672</v>
      </c>
      <c r="F858" s="1333" t="s">
        <v>109</v>
      </c>
      <c r="G858" s="1215">
        <v>4.8</v>
      </c>
      <c r="H858" s="1160">
        <v>50</v>
      </c>
      <c r="I858" s="1244">
        <v>11.7897</v>
      </c>
      <c r="J858" s="1552">
        <v>28.77</v>
      </c>
      <c r="K858" s="1160">
        <v>72</v>
      </c>
      <c r="L858" s="1527">
        <v>848.85839999999996</v>
      </c>
      <c r="M858" s="1532">
        <v>2150.8298</v>
      </c>
      <c r="N858" s="159"/>
    </row>
    <row r="859" spans="2:14">
      <c r="C859" s="273" t="s">
        <v>1673</v>
      </c>
      <c r="D859" s="1119"/>
      <c r="E859" s="69" t="s">
        <v>1674</v>
      </c>
      <c r="F859" s="1334"/>
      <c r="G859" s="1697"/>
      <c r="H859" s="1686"/>
      <c r="I859" s="1686"/>
      <c r="J859" s="1739"/>
      <c r="K859" s="1686"/>
      <c r="L859" s="1687"/>
      <c r="M859" s="1689"/>
      <c r="N859" s="159"/>
    </row>
    <row r="860" spans="2:14">
      <c r="C860" s="273" t="s">
        <v>1675</v>
      </c>
      <c r="D860" s="1119"/>
      <c r="E860" s="69" t="s">
        <v>1676</v>
      </c>
      <c r="F860" s="1334"/>
      <c r="G860" s="1719"/>
      <c r="H860" s="1686"/>
      <c r="I860" s="1686"/>
      <c r="J860" s="1739"/>
      <c r="K860" s="1686"/>
      <c r="L860" s="1687"/>
      <c r="M860" s="1689"/>
      <c r="N860" s="159"/>
    </row>
    <row r="861" spans="2:14" ht="15" thickBot="1">
      <c r="C861" s="275" t="s">
        <v>1677</v>
      </c>
      <c r="D861" s="1119"/>
      <c r="E861" s="70" t="s">
        <v>1678</v>
      </c>
      <c r="F861" s="1334"/>
      <c r="G861" s="1174">
        <v>6</v>
      </c>
      <c r="H861" s="1686"/>
      <c r="I861" s="1686"/>
      <c r="J861" s="1739"/>
      <c r="K861" s="1686"/>
      <c r="L861" s="1687"/>
      <c r="M861" s="1689"/>
      <c r="N861" s="159"/>
    </row>
    <row r="862" spans="2:14" ht="15" thickBot="1">
      <c r="C862" s="276" t="s">
        <v>1679</v>
      </c>
      <c r="D862" s="1120"/>
      <c r="E862" s="72" t="s">
        <v>1680</v>
      </c>
      <c r="F862" s="1335"/>
      <c r="G862" s="1700"/>
      <c r="H862" s="1690"/>
      <c r="I862" s="1690"/>
      <c r="J862" s="1738"/>
      <c r="K862" s="1690"/>
      <c r="L862" s="1692"/>
      <c r="M862" s="1694"/>
      <c r="N862" s="159"/>
    </row>
    <row r="863" spans="2:14" ht="15" thickBot="1">
      <c r="B863" s="21" t="s">
        <v>326</v>
      </c>
      <c r="C863" s="272" t="s">
        <v>1681</v>
      </c>
      <c r="D863" s="1118" t="s">
        <v>227</v>
      </c>
      <c r="E863" s="75" t="s">
        <v>1682</v>
      </c>
      <c r="F863" s="1333" t="s">
        <v>108</v>
      </c>
      <c r="G863" s="1170">
        <v>4.2</v>
      </c>
      <c r="H863" s="1160">
        <v>50</v>
      </c>
      <c r="I863" s="1244">
        <v>12.64</v>
      </c>
      <c r="J863" s="1552">
        <v>28.6</v>
      </c>
      <c r="K863" s="1160">
        <v>99</v>
      </c>
      <c r="L863" s="1252">
        <v>1246.7862</v>
      </c>
      <c r="M863" s="1274">
        <v>2831.4</v>
      </c>
      <c r="N863" s="159"/>
    </row>
    <row r="864" spans="2:14">
      <c r="C864" s="273" t="s">
        <v>1683</v>
      </c>
      <c r="D864" s="1119"/>
      <c r="E864" s="76" t="s">
        <v>1684</v>
      </c>
      <c r="F864" s="1334"/>
      <c r="G864" s="1697"/>
      <c r="H864" s="1686"/>
      <c r="I864" s="1686"/>
      <c r="J864" s="1739"/>
      <c r="K864" s="1686"/>
      <c r="L864" s="1687"/>
      <c r="M864" s="1689"/>
      <c r="N864" s="159"/>
    </row>
    <row r="865" spans="2:14" ht="15" thickBot="1">
      <c r="C865" s="276" t="s">
        <v>1685</v>
      </c>
      <c r="D865" s="1120"/>
      <c r="E865" s="78" t="s">
        <v>1686</v>
      </c>
      <c r="F865" s="1335"/>
      <c r="G865" s="1700"/>
      <c r="H865" s="1690"/>
      <c r="I865" s="1690"/>
      <c r="J865" s="1738"/>
      <c r="K865" s="1690"/>
      <c r="L865" s="1692"/>
      <c r="M865" s="1694"/>
      <c r="N865" s="159"/>
    </row>
    <row r="866" spans="2:14" ht="15" thickBot="1">
      <c r="C866" s="20"/>
      <c r="D866" s="243"/>
      <c r="E866" s="242"/>
      <c r="F866" s="243"/>
      <c r="G866" s="80"/>
      <c r="H866" s="80"/>
      <c r="I866" s="154"/>
      <c r="J866" s="154"/>
      <c r="K866" s="80"/>
      <c r="L866" s="154"/>
      <c r="M866" s="154"/>
      <c r="N866" s="154"/>
    </row>
    <row r="867" spans="2:14" ht="31.5" customHeight="1" thickBot="1">
      <c r="C867" s="63" t="s">
        <v>1687</v>
      </c>
      <c r="F867" s="164"/>
      <c r="G867" s="549"/>
      <c r="H867" s="1133" t="s">
        <v>101</v>
      </c>
      <c r="I867" s="1675"/>
      <c r="J867" s="1676"/>
      <c r="K867" s="1133" t="s">
        <v>102</v>
      </c>
      <c r="L867" s="1675"/>
      <c r="M867" s="1676"/>
      <c r="N867" s="26"/>
    </row>
    <row r="868" spans="2:14" ht="15" customHeight="1" thickBot="1">
      <c r="C868" s="28" t="s">
        <v>103</v>
      </c>
      <c r="D868" s="32" t="s">
        <v>104</v>
      </c>
      <c r="E868" s="30" t="s">
        <v>105</v>
      </c>
      <c r="F868" s="32" t="s">
        <v>106</v>
      </c>
      <c r="G868" s="32" t="s">
        <v>107</v>
      </c>
      <c r="H868" s="33" t="s">
        <v>108</v>
      </c>
      <c r="I868" s="34" t="s">
        <v>109</v>
      </c>
      <c r="J868" s="36" t="s">
        <v>110</v>
      </c>
      <c r="K868" s="33" t="s">
        <v>111</v>
      </c>
      <c r="L868" s="34" t="s">
        <v>109</v>
      </c>
      <c r="M868" s="36" t="s">
        <v>110</v>
      </c>
      <c r="N868" s="37"/>
    </row>
    <row r="869" spans="2:14" ht="15" customHeight="1" thickBot="1">
      <c r="B869" s="21" t="s">
        <v>213</v>
      </c>
      <c r="C869" s="257" t="s">
        <v>1688</v>
      </c>
      <c r="D869" s="271" t="s">
        <v>278</v>
      </c>
      <c r="E869" s="267" t="s">
        <v>1689</v>
      </c>
      <c r="F869" s="255" t="s">
        <v>109</v>
      </c>
      <c r="G869" s="545">
        <v>3.9</v>
      </c>
      <c r="H869" s="199">
        <v>3</v>
      </c>
      <c r="I869" s="466">
        <v>8.7200000000000006</v>
      </c>
      <c r="J869" s="466">
        <v>43.15</v>
      </c>
      <c r="K869" s="199">
        <v>36</v>
      </c>
      <c r="L869" s="466">
        <v>314.57</v>
      </c>
      <c r="M869" s="466">
        <v>1553.58</v>
      </c>
      <c r="N869" s="243"/>
    </row>
    <row r="870" spans="2:14" ht="15" customHeight="1" thickBot="1">
      <c r="C870" s="20"/>
      <c r="D870" s="243"/>
      <c r="E870" s="242"/>
      <c r="F870" s="243"/>
      <c r="G870" s="80"/>
      <c r="H870" s="80"/>
      <c r="I870" s="154"/>
      <c r="J870" s="154"/>
      <c r="K870" s="80"/>
      <c r="L870" s="154"/>
      <c r="M870" s="154"/>
      <c r="N870" s="154"/>
    </row>
    <row r="871" spans="2:14" ht="32.1" customHeight="1" thickBot="1">
      <c r="C871" s="63" t="s">
        <v>1690</v>
      </c>
      <c r="F871" s="164"/>
      <c r="G871" s="549"/>
      <c r="H871" s="1133" t="s">
        <v>101</v>
      </c>
      <c r="I871" s="1675"/>
      <c r="J871" s="1676"/>
      <c r="K871" s="1133" t="s">
        <v>102</v>
      </c>
      <c r="L871" s="1675"/>
      <c r="M871" s="1676"/>
      <c r="N871" s="26"/>
    </row>
    <row r="872" spans="2:14" ht="15" customHeight="1" thickBot="1">
      <c r="B872" s="21" t="s">
        <v>213</v>
      </c>
      <c r="C872" s="28" t="s">
        <v>103</v>
      </c>
      <c r="D872" s="32" t="s">
        <v>104</v>
      </c>
      <c r="E872" s="30" t="s">
        <v>105</v>
      </c>
      <c r="F872" s="32" t="s">
        <v>106</v>
      </c>
      <c r="G872" s="32" t="s">
        <v>107</v>
      </c>
      <c r="H872" s="33" t="s">
        <v>108</v>
      </c>
      <c r="I872" s="34" t="s">
        <v>109</v>
      </c>
      <c r="J872" s="36" t="s">
        <v>110</v>
      </c>
      <c r="K872" s="33" t="s">
        <v>111</v>
      </c>
      <c r="L872" s="34" t="s">
        <v>109</v>
      </c>
      <c r="M872" s="36" t="s">
        <v>110</v>
      </c>
      <c r="N872" s="37"/>
    </row>
    <row r="873" spans="2:14" ht="15" thickBot="1">
      <c r="B873" s="20"/>
      <c r="C873" s="912" t="s">
        <v>1691</v>
      </c>
      <c r="D873" s="1118" t="s">
        <v>178</v>
      </c>
      <c r="E873" s="912" t="s">
        <v>1692</v>
      </c>
      <c r="F873" s="1119" t="s">
        <v>109</v>
      </c>
      <c r="G873" s="1170">
        <v>3</v>
      </c>
      <c r="H873" s="1117">
        <v>50</v>
      </c>
      <c r="I873" s="1128">
        <v>12.64</v>
      </c>
      <c r="J873" s="1236">
        <v>30.7</v>
      </c>
      <c r="K873" s="1117">
        <v>84</v>
      </c>
      <c r="L873" s="1176">
        <v>1061.76</v>
      </c>
      <c r="M873" s="1276">
        <v>2578.8000000000002</v>
      </c>
      <c r="N873" s="243"/>
    </row>
    <row r="874" spans="2:14">
      <c r="B874" s="20"/>
      <c r="C874" s="913" t="s">
        <v>1693</v>
      </c>
      <c r="D874" s="1119"/>
      <c r="E874" s="914" t="s">
        <v>1694</v>
      </c>
      <c r="F874" s="1119"/>
      <c r="G874" s="1697"/>
      <c r="H874" s="1686"/>
      <c r="I874" s="1686"/>
      <c r="J874" s="1739"/>
      <c r="K874" s="1686"/>
      <c r="L874" s="1687"/>
      <c r="M874" s="1689"/>
      <c r="N874" s="243"/>
    </row>
    <row r="875" spans="2:14">
      <c r="B875" s="20"/>
      <c r="C875" s="913" t="s">
        <v>1695</v>
      </c>
      <c r="D875" s="1119"/>
      <c r="E875" s="914" t="s">
        <v>1696</v>
      </c>
      <c r="F875" s="1119"/>
      <c r="G875" s="1697"/>
      <c r="H875" s="1686"/>
      <c r="I875" s="1686"/>
      <c r="J875" s="1739"/>
      <c r="K875" s="1686"/>
      <c r="L875" s="1687"/>
      <c r="M875" s="1689"/>
      <c r="N875" s="243"/>
    </row>
    <row r="876" spans="2:14">
      <c r="B876" s="20"/>
      <c r="C876" s="913" t="s">
        <v>1697</v>
      </c>
      <c r="D876" s="1119"/>
      <c r="E876" s="914" t="s">
        <v>1698</v>
      </c>
      <c r="F876" s="1119"/>
      <c r="G876" s="1697"/>
      <c r="H876" s="1686"/>
      <c r="I876" s="1686"/>
      <c r="J876" s="1739"/>
      <c r="K876" s="1686"/>
      <c r="L876" s="1687"/>
      <c r="M876" s="1689"/>
      <c r="N876" s="80"/>
    </row>
    <row r="877" spans="2:14" ht="15" thickBot="1">
      <c r="B877" s="20"/>
      <c r="C877" s="915" t="s">
        <v>1699</v>
      </c>
      <c r="D877" s="1120"/>
      <c r="E877" s="467" t="s">
        <v>1700</v>
      </c>
      <c r="F877" s="1120"/>
      <c r="G877" s="1700"/>
      <c r="H877" s="1690"/>
      <c r="I877" s="1690"/>
      <c r="J877" s="1738"/>
      <c r="K877" s="1690"/>
      <c r="L877" s="1692"/>
      <c r="M877" s="1694"/>
      <c r="N877" s="80"/>
    </row>
    <row r="878" spans="2:14" ht="15" thickBot="1">
      <c r="C878" s="20"/>
      <c r="D878" s="243"/>
      <c r="E878" s="242"/>
      <c r="F878" s="243"/>
      <c r="G878" s="80"/>
      <c r="H878" s="80"/>
      <c r="I878" s="154"/>
      <c r="J878" s="154"/>
      <c r="K878" s="80"/>
      <c r="L878" s="154"/>
      <c r="M878" s="154"/>
      <c r="N878" s="154"/>
    </row>
    <row r="879" spans="2:14" ht="31.5" customHeight="1" thickBot="1">
      <c r="C879" s="63" t="s">
        <v>1701</v>
      </c>
      <c r="E879" s="22"/>
      <c r="H879" s="1133" t="s">
        <v>101</v>
      </c>
      <c r="I879" s="1675"/>
      <c r="J879" s="1676"/>
      <c r="K879" s="1133" t="s">
        <v>102</v>
      </c>
      <c r="L879" s="1675"/>
      <c r="M879" s="1676"/>
      <c r="N879" s="26"/>
    </row>
    <row r="880" spans="2:14" ht="14.25" customHeight="1" thickBot="1">
      <c r="C880" s="29" t="s">
        <v>103</v>
      </c>
      <c r="D880" s="32" t="s">
        <v>104</v>
      </c>
      <c r="E880" s="42" t="s">
        <v>105</v>
      </c>
      <c r="F880" s="31" t="s">
        <v>106</v>
      </c>
      <c r="G880" s="31" t="s">
        <v>107</v>
      </c>
      <c r="H880" s="43" t="s">
        <v>108</v>
      </c>
      <c r="I880" s="44" t="s">
        <v>109</v>
      </c>
      <c r="J880" s="55" t="s">
        <v>110</v>
      </c>
      <c r="K880" s="43" t="s">
        <v>111</v>
      </c>
      <c r="L880" s="44" t="s">
        <v>109</v>
      </c>
      <c r="M880" s="55" t="s">
        <v>110</v>
      </c>
      <c r="N880" s="37"/>
    </row>
    <row r="881" spans="2:14" ht="15" thickBot="1">
      <c r="B881" s="21" t="s">
        <v>112</v>
      </c>
      <c r="C881" s="916" t="s">
        <v>1702</v>
      </c>
      <c r="D881" s="1415" t="s">
        <v>1703</v>
      </c>
      <c r="E881" s="916" t="s">
        <v>1704</v>
      </c>
      <c r="F881" s="1143" t="s">
        <v>109</v>
      </c>
      <c r="G881" s="1170">
        <v>1.98</v>
      </c>
      <c r="H881" s="1129">
        <v>5</v>
      </c>
      <c r="I881" s="1244">
        <v>9.69</v>
      </c>
      <c r="J881" s="1395">
        <v>35.71</v>
      </c>
      <c r="K881" s="1160">
        <v>64</v>
      </c>
      <c r="L881" s="1114">
        <v>620</v>
      </c>
      <c r="M881" s="1274">
        <v>2336.9</v>
      </c>
      <c r="N881" s="159"/>
    </row>
    <row r="882" spans="2:14">
      <c r="B882" s="51"/>
      <c r="C882" s="917" t="s">
        <v>1705</v>
      </c>
      <c r="D882" s="1416"/>
      <c r="E882" s="917" t="s">
        <v>1706</v>
      </c>
      <c r="F882" s="1144"/>
      <c r="G882" s="1697"/>
      <c r="H882" s="1686"/>
      <c r="I882" s="1686"/>
      <c r="J882" s="1689"/>
      <c r="K882" s="1686"/>
      <c r="L882" s="1687"/>
      <c r="M882" s="1689"/>
      <c r="N882" s="159"/>
    </row>
    <row r="883" spans="2:14">
      <c r="B883" s="51"/>
      <c r="C883" s="918" t="s">
        <v>1707</v>
      </c>
      <c r="D883" s="1416"/>
      <c r="E883" s="918" t="s">
        <v>1708</v>
      </c>
      <c r="F883" s="1144"/>
      <c r="G883" s="1697"/>
      <c r="H883" s="1686"/>
      <c r="I883" s="1686"/>
      <c r="J883" s="1689"/>
      <c r="K883" s="1686"/>
      <c r="L883" s="1687"/>
      <c r="M883" s="1689"/>
      <c r="N883" s="159"/>
    </row>
    <row r="884" spans="2:14">
      <c r="B884" s="51"/>
      <c r="C884" s="918" t="s">
        <v>1709</v>
      </c>
      <c r="D884" s="1416"/>
      <c r="E884" s="918" t="s">
        <v>1710</v>
      </c>
      <c r="F884" s="1144"/>
      <c r="G884" s="1697"/>
      <c r="H884" s="1686"/>
      <c r="I884" s="1686"/>
      <c r="J884" s="1689"/>
      <c r="K884" s="1686"/>
      <c r="L884" s="1687"/>
      <c r="M884" s="1689"/>
      <c r="N884" s="159"/>
    </row>
    <row r="885" spans="2:14" ht="16.350000000000001" customHeight="1">
      <c r="B885" s="51"/>
      <c r="C885" s="913" t="s">
        <v>1711</v>
      </c>
      <c r="D885" s="1416"/>
      <c r="E885" s="914" t="s">
        <v>1712</v>
      </c>
      <c r="F885" s="1144"/>
      <c r="G885" s="1697"/>
      <c r="H885" s="1686"/>
      <c r="I885" s="1686"/>
      <c r="J885" s="1689"/>
      <c r="K885" s="1686"/>
      <c r="L885" s="1687"/>
      <c r="M885" s="1689"/>
      <c r="N885" s="159"/>
    </row>
    <row r="886" spans="2:14">
      <c r="B886" s="51"/>
      <c r="C886" s="913" t="s">
        <v>1713</v>
      </c>
      <c r="D886" s="1416"/>
      <c r="E886" s="914" t="s">
        <v>1714</v>
      </c>
      <c r="F886" s="1144"/>
      <c r="G886" s="1697"/>
      <c r="H886" s="1686"/>
      <c r="I886" s="1686"/>
      <c r="J886" s="1689"/>
      <c r="K886" s="1686"/>
      <c r="L886" s="1687"/>
      <c r="M886" s="1689"/>
      <c r="N886" s="159"/>
    </row>
    <row r="887" spans="2:14">
      <c r="B887" s="51"/>
      <c r="C887" s="913" t="s">
        <v>1715</v>
      </c>
      <c r="D887" s="1416"/>
      <c r="E887" s="914" t="s">
        <v>1716</v>
      </c>
      <c r="F887" s="1144"/>
      <c r="G887" s="1697"/>
      <c r="H887" s="1686"/>
      <c r="I887" s="1686"/>
      <c r="J887" s="1689"/>
      <c r="K887" s="1686"/>
      <c r="L887" s="1687"/>
      <c r="M887" s="1689"/>
      <c r="N887" s="159"/>
    </row>
    <row r="888" spans="2:14">
      <c r="B888" s="51"/>
      <c r="C888" s="913" t="s">
        <v>1717</v>
      </c>
      <c r="D888" s="1416"/>
      <c r="E888" s="914" t="s">
        <v>1718</v>
      </c>
      <c r="F888" s="1144"/>
      <c r="G888" s="1697"/>
      <c r="H888" s="1686"/>
      <c r="I888" s="1686"/>
      <c r="J888" s="1689"/>
      <c r="K888" s="1686"/>
      <c r="L888" s="1687"/>
      <c r="M888" s="1689"/>
      <c r="N888" s="159"/>
    </row>
    <row r="889" spans="2:14">
      <c r="B889" s="51"/>
      <c r="C889" s="913" t="s">
        <v>1719</v>
      </c>
      <c r="D889" s="1416"/>
      <c r="E889" s="914" t="s">
        <v>1720</v>
      </c>
      <c r="F889" s="1144"/>
      <c r="G889" s="1697"/>
      <c r="H889" s="1686"/>
      <c r="I889" s="1686"/>
      <c r="J889" s="1689"/>
      <c r="K889" s="1686"/>
      <c r="L889" s="1687"/>
      <c r="M889" s="1689"/>
      <c r="N889" s="159"/>
    </row>
    <row r="890" spans="2:14">
      <c r="B890" s="51"/>
      <c r="C890" s="913" t="s">
        <v>1721</v>
      </c>
      <c r="D890" s="1416"/>
      <c r="E890" s="914" t="s">
        <v>1722</v>
      </c>
      <c r="F890" s="1144"/>
      <c r="G890" s="1697"/>
      <c r="H890" s="1686"/>
      <c r="I890" s="1686"/>
      <c r="J890" s="1689"/>
      <c r="K890" s="1686"/>
      <c r="L890" s="1687"/>
      <c r="M890" s="1689"/>
      <c r="N890" s="159"/>
    </row>
    <row r="891" spans="2:14">
      <c r="B891" s="51"/>
      <c r="C891" s="913" t="s">
        <v>1723</v>
      </c>
      <c r="D891" s="1416"/>
      <c r="E891" s="914" t="s">
        <v>1724</v>
      </c>
      <c r="F891" s="1144"/>
      <c r="G891" s="1697"/>
      <c r="H891" s="1686"/>
      <c r="I891" s="1686"/>
      <c r="J891" s="1689"/>
      <c r="K891" s="1686"/>
      <c r="L891" s="1687"/>
      <c r="M891" s="1689"/>
      <c r="N891" s="159"/>
    </row>
    <row r="892" spans="2:14">
      <c r="B892" s="51"/>
      <c r="C892" s="913" t="s">
        <v>1725</v>
      </c>
      <c r="D892" s="1416"/>
      <c r="E892" s="914" t="s">
        <v>1726</v>
      </c>
      <c r="F892" s="1144"/>
      <c r="G892" s="1697"/>
      <c r="H892" s="1686"/>
      <c r="I892" s="1686"/>
      <c r="J892" s="1689"/>
      <c r="K892" s="1686"/>
      <c r="L892" s="1687"/>
      <c r="M892" s="1689"/>
      <c r="N892" s="159"/>
    </row>
    <row r="893" spans="2:14">
      <c r="B893" s="51"/>
      <c r="C893" s="913" t="s">
        <v>1727</v>
      </c>
      <c r="D893" s="1416"/>
      <c r="E893" s="914" t="s">
        <v>1728</v>
      </c>
      <c r="F893" s="1144"/>
      <c r="G893" s="1697"/>
      <c r="H893" s="1686"/>
      <c r="I893" s="1686"/>
      <c r="J893" s="1689"/>
      <c r="K893" s="1686"/>
      <c r="L893" s="1687"/>
      <c r="M893" s="1689"/>
      <c r="N893" s="159"/>
    </row>
    <row r="894" spans="2:14" ht="15" thickBot="1">
      <c r="B894" s="51"/>
      <c r="C894" s="915" t="s">
        <v>1729</v>
      </c>
      <c r="D894" s="1417"/>
      <c r="E894" s="467" t="s">
        <v>1730</v>
      </c>
      <c r="F894" s="1144"/>
      <c r="G894" s="1700"/>
      <c r="H894" s="1691"/>
      <c r="I894" s="1690"/>
      <c r="J894" s="1705"/>
      <c r="K894" s="1690"/>
      <c r="L894" s="1692"/>
      <c r="M894" s="1694"/>
      <c r="N894" s="159"/>
    </row>
    <row r="895" spans="2:14" ht="15" thickBot="1">
      <c r="B895" s="51"/>
      <c r="C895" s="916" t="s">
        <v>1731</v>
      </c>
      <c r="D895" s="1270" t="s">
        <v>119</v>
      </c>
      <c r="E895" s="916" t="s">
        <v>1732</v>
      </c>
      <c r="F895" s="1119"/>
      <c r="G895" s="1282">
        <v>2.1</v>
      </c>
      <c r="H895" s="1496">
        <v>3</v>
      </c>
      <c r="I895" s="1244">
        <v>23.25</v>
      </c>
      <c r="J895" s="1167">
        <v>70.86</v>
      </c>
      <c r="K895" s="1160">
        <v>27</v>
      </c>
      <c r="L895" s="1114">
        <v>558</v>
      </c>
      <c r="M895" s="1274">
        <v>1700.64</v>
      </c>
      <c r="N895" s="159"/>
    </row>
    <row r="896" spans="2:14">
      <c r="B896" s="51"/>
      <c r="C896" s="918" t="s">
        <v>1733</v>
      </c>
      <c r="D896" s="1278"/>
      <c r="E896" s="918" t="s">
        <v>1734</v>
      </c>
      <c r="F896" s="1119"/>
      <c r="G896" s="1697"/>
      <c r="H896" s="1686"/>
      <c r="I896" s="1686"/>
      <c r="J896" s="1689"/>
      <c r="K896" s="1686"/>
      <c r="L896" s="1687"/>
      <c r="M896" s="1689"/>
      <c r="N896" s="159"/>
    </row>
    <row r="897" spans="2:14">
      <c r="B897" s="51"/>
      <c r="C897" s="918" t="s">
        <v>1735</v>
      </c>
      <c r="D897" s="1278"/>
      <c r="E897" s="918" t="s">
        <v>1736</v>
      </c>
      <c r="F897" s="1119"/>
      <c r="G897" s="1697"/>
      <c r="H897" s="1686"/>
      <c r="I897" s="1686"/>
      <c r="J897" s="1689"/>
      <c r="K897" s="1686"/>
      <c r="L897" s="1687"/>
      <c r="M897" s="1689"/>
      <c r="N897" s="159"/>
    </row>
    <row r="898" spans="2:14">
      <c r="B898" s="51"/>
      <c r="C898" s="918" t="s">
        <v>1737</v>
      </c>
      <c r="D898" s="1278"/>
      <c r="E898" s="917" t="s">
        <v>1738</v>
      </c>
      <c r="F898" s="1119"/>
      <c r="G898" s="1697"/>
      <c r="H898" s="1686"/>
      <c r="I898" s="1686"/>
      <c r="J898" s="1689"/>
      <c r="K898" s="1686"/>
      <c r="L898" s="1687"/>
      <c r="M898" s="1689"/>
      <c r="N898" s="159"/>
    </row>
    <row r="899" spans="2:14">
      <c r="B899" s="51"/>
      <c r="C899" s="913" t="s">
        <v>1739</v>
      </c>
      <c r="D899" s="1278"/>
      <c r="E899" s="914" t="s">
        <v>1740</v>
      </c>
      <c r="F899" s="1119"/>
      <c r="G899" s="1697"/>
      <c r="H899" s="1686"/>
      <c r="I899" s="1686"/>
      <c r="J899" s="1689"/>
      <c r="K899" s="1686"/>
      <c r="L899" s="1687"/>
      <c r="M899" s="1689"/>
      <c r="N899" s="159"/>
    </row>
    <row r="900" spans="2:14">
      <c r="B900" s="51"/>
      <c r="C900" s="913" t="s">
        <v>1741</v>
      </c>
      <c r="D900" s="1278"/>
      <c r="E900" s="914" t="s">
        <v>1742</v>
      </c>
      <c r="F900" s="1119"/>
      <c r="G900" s="1697"/>
      <c r="H900" s="1686"/>
      <c r="I900" s="1686"/>
      <c r="J900" s="1689"/>
      <c r="K900" s="1686"/>
      <c r="L900" s="1687"/>
      <c r="M900" s="1689"/>
      <c r="N900" s="159"/>
    </row>
    <row r="901" spans="2:14">
      <c r="B901" s="51"/>
      <c r="C901" s="913" t="s">
        <v>1743</v>
      </c>
      <c r="D901" s="1278"/>
      <c r="E901" s="914" t="s">
        <v>1744</v>
      </c>
      <c r="F901" s="1119"/>
      <c r="G901" s="1697"/>
      <c r="H901" s="1686"/>
      <c r="I901" s="1686"/>
      <c r="J901" s="1689"/>
      <c r="K901" s="1686"/>
      <c r="L901" s="1687"/>
      <c r="M901" s="1689"/>
      <c r="N901" s="159"/>
    </row>
    <row r="902" spans="2:14">
      <c r="B902" s="51"/>
      <c r="C902" s="913" t="s">
        <v>1745</v>
      </c>
      <c r="D902" s="1278"/>
      <c r="E902" s="914" t="s">
        <v>1746</v>
      </c>
      <c r="F902" s="1119"/>
      <c r="G902" s="1697"/>
      <c r="H902" s="1686"/>
      <c r="I902" s="1686"/>
      <c r="J902" s="1689"/>
      <c r="K902" s="1686"/>
      <c r="L902" s="1687"/>
      <c r="M902" s="1689"/>
      <c r="N902" s="159"/>
    </row>
    <row r="903" spans="2:14">
      <c r="B903" s="51"/>
      <c r="C903" s="913" t="s">
        <v>1747</v>
      </c>
      <c r="D903" s="1278"/>
      <c r="E903" s="914" t="s">
        <v>1748</v>
      </c>
      <c r="F903" s="1119"/>
      <c r="G903" s="1697"/>
      <c r="H903" s="1686"/>
      <c r="I903" s="1686"/>
      <c r="J903" s="1689"/>
      <c r="K903" s="1686"/>
      <c r="L903" s="1687"/>
      <c r="M903" s="1689"/>
      <c r="N903" s="159"/>
    </row>
    <row r="904" spans="2:14">
      <c r="B904" s="51"/>
      <c r="C904" s="913" t="s">
        <v>1749</v>
      </c>
      <c r="D904" s="1278"/>
      <c r="E904" s="914" t="s">
        <v>1750</v>
      </c>
      <c r="F904" s="1119"/>
      <c r="G904" s="1697"/>
      <c r="H904" s="1686"/>
      <c r="I904" s="1686"/>
      <c r="J904" s="1689"/>
      <c r="K904" s="1686"/>
      <c r="L904" s="1687"/>
      <c r="M904" s="1689"/>
      <c r="N904" s="159"/>
    </row>
    <row r="905" spans="2:14" ht="15" thickBot="1">
      <c r="B905" s="51"/>
      <c r="C905" s="915" t="s">
        <v>1751</v>
      </c>
      <c r="D905" s="1278"/>
      <c r="E905" s="467" t="s">
        <v>1752</v>
      </c>
      <c r="F905" s="1119"/>
      <c r="G905" s="1700"/>
      <c r="H905" s="1691"/>
      <c r="I905" s="1690"/>
      <c r="J905" s="1705"/>
      <c r="K905" s="1690"/>
      <c r="L905" s="1692"/>
      <c r="M905" s="1694"/>
      <c r="N905" s="159"/>
    </row>
    <row r="906" spans="2:14" ht="15" customHeight="1" thickBot="1">
      <c r="B906" s="51"/>
      <c r="C906" s="919" t="s">
        <v>1753</v>
      </c>
      <c r="D906" s="1271"/>
      <c r="E906" s="920" t="s">
        <v>1754</v>
      </c>
      <c r="F906" s="1120"/>
      <c r="G906" s="576">
        <v>2.58</v>
      </c>
      <c r="H906" s="410">
        <v>2</v>
      </c>
      <c r="I906" s="412">
        <v>15.5</v>
      </c>
      <c r="J906" s="411">
        <v>44.27</v>
      </c>
      <c r="K906" s="410">
        <v>29</v>
      </c>
      <c r="L906" s="325">
        <v>387.5</v>
      </c>
      <c r="M906" s="411">
        <v>1106.75</v>
      </c>
      <c r="N906" s="159"/>
    </row>
    <row r="907" spans="2:14" ht="15" customHeight="1" thickBot="1">
      <c r="C907" s="422" t="s">
        <v>247</v>
      </c>
      <c r="D907" s="243"/>
      <c r="E907" s="242"/>
      <c r="F907" s="243"/>
      <c r="G907" s="80"/>
      <c r="H907" s="80"/>
      <c r="I907" s="154"/>
      <c r="J907" s="80"/>
      <c r="K907" s="80"/>
      <c r="L907" s="80"/>
      <c r="M907" s="80"/>
      <c r="N907" s="80"/>
    </row>
    <row r="908" spans="2:14" ht="32.1" customHeight="1" thickBot="1">
      <c r="C908" s="63" t="s">
        <v>1755</v>
      </c>
      <c r="E908" s="22"/>
      <c r="G908" s="549"/>
      <c r="H908" s="1133" t="s">
        <v>101</v>
      </c>
      <c r="I908" s="1675"/>
      <c r="J908" s="1676"/>
      <c r="K908" s="1133" t="s">
        <v>102</v>
      </c>
      <c r="L908" s="1675"/>
      <c r="M908" s="1676"/>
      <c r="N908" s="26"/>
    </row>
    <row r="909" spans="2:14" ht="14.25" customHeight="1" thickBot="1">
      <c r="C909" s="28" t="s">
        <v>103</v>
      </c>
      <c r="D909" s="32" t="s">
        <v>104</v>
      </c>
      <c r="E909" s="30" t="s">
        <v>105</v>
      </c>
      <c r="F909" s="32" t="s">
        <v>106</v>
      </c>
      <c r="G909" s="32" t="s">
        <v>107</v>
      </c>
      <c r="H909" s="33" t="s">
        <v>108</v>
      </c>
      <c r="I909" s="34" t="s">
        <v>109</v>
      </c>
      <c r="J909" s="36" t="s">
        <v>110</v>
      </c>
      <c r="K909" s="33" t="s">
        <v>111</v>
      </c>
      <c r="L909" s="34" t="s">
        <v>109</v>
      </c>
      <c r="M909" s="36" t="s">
        <v>110</v>
      </c>
      <c r="N909" s="37"/>
    </row>
    <row r="910" spans="2:14" ht="15" thickBot="1">
      <c r="B910" s="21" t="s">
        <v>213</v>
      </c>
      <c r="C910" s="75" t="s">
        <v>1756</v>
      </c>
      <c r="D910" s="1415" t="s">
        <v>1757</v>
      </c>
      <c r="E910" s="71" t="s">
        <v>1758</v>
      </c>
      <c r="F910" s="1334" t="s">
        <v>109</v>
      </c>
      <c r="G910" s="1170">
        <v>1.68</v>
      </c>
      <c r="H910" s="1220">
        <v>34</v>
      </c>
      <c r="I910" s="1244">
        <v>10.039999999999999</v>
      </c>
      <c r="J910" s="1537">
        <v>27</v>
      </c>
      <c r="K910" s="1160">
        <v>78</v>
      </c>
      <c r="L910" s="1114">
        <v>783.35</v>
      </c>
      <c r="M910" s="1274">
        <v>2105.69</v>
      </c>
      <c r="N910" s="159"/>
    </row>
    <row r="911" spans="2:14">
      <c r="C911" s="76" t="s">
        <v>1759</v>
      </c>
      <c r="D911" s="1416"/>
      <c r="E911" s="69" t="s">
        <v>1760</v>
      </c>
      <c r="F911" s="1334"/>
      <c r="G911" s="1697"/>
      <c r="H911" s="1686"/>
      <c r="I911" s="1686"/>
      <c r="J911" s="1688"/>
      <c r="K911" s="1686"/>
      <c r="L911" s="1687"/>
      <c r="M911" s="1689"/>
      <c r="N911" s="159"/>
    </row>
    <row r="912" spans="2:14">
      <c r="C912" s="607" t="s">
        <v>1761</v>
      </c>
      <c r="D912" s="1416"/>
      <c r="E912" s="71" t="s">
        <v>1762</v>
      </c>
      <c r="F912" s="1334"/>
      <c r="G912" s="1697"/>
      <c r="H912" s="1686"/>
      <c r="I912" s="1686"/>
      <c r="J912" s="1688"/>
      <c r="K912" s="1686"/>
      <c r="L912" s="1687"/>
      <c r="M912" s="1689"/>
      <c r="N912" s="159"/>
    </row>
    <row r="913" spans="2:14">
      <c r="C913" s="607" t="s">
        <v>1763</v>
      </c>
      <c r="D913" s="1416"/>
      <c r="E913" s="71" t="s">
        <v>1764</v>
      </c>
      <c r="F913" s="1334"/>
      <c r="G913" s="1697"/>
      <c r="H913" s="1686"/>
      <c r="I913" s="1686"/>
      <c r="J913" s="1688"/>
      <c r="K913" s="1686"/>
      <c r="L913" s="1687"/>
      <c r="M913" s="1689"/>
      <c r="N913" s="159"/>
    </row>
    <row r="914" spans="2:14">
      <c r="C914" s="608" t="s">
        <v>1765</v>
      </c>
      <c r="D914" s="1416"/>
      <c r="E914" s="20" t="s">
        <v>1766</v>
      </c>
      <c r="F914" s="1334"/>
      <c r="G914" s="1697"/>
      <c r="H914" s="1686"/>
      <c r="I914" s="1686"/>
      <c r="J914" s="1688"/>
      <c r="K914" s="1686"/>
      <c r="L914" s="1687"/>
      <c r="M914" s="1689"/>
      <c r="N914" s="159"/>
    </row>
    <row r="915" spans="2:14">
      <c r="C915" s="76" t="s">
        <v>1767</v>
      </c>
      <c r="D915" s="1416"/>
      <c r="E915" s="69" t="s">
        <v>1768</v>
      </c>
      <c r="F915" s="1334"/>
      <c r="G915" s="1697"/>
      <c r="H915" s="1686"/>
      <c r="I915" s="1686"/>
      <c r="J915" s="1688"/>
      <c r="K915" s="1686"/>
      <c r="L915" s="1687"/>
      <c r="M915" s="1689"/>
      <c r="N915" s="159"/>
    </row>
    <row r="916" spans="2:14" ht="15" thickBot="1">
      <c r="C916" s="78" t="s">
        <v>1769</v>
      </c>
      <c r="D916" s="1417"/>
      <c r="E916" s="69" t="s">
        <v>1770</v>
      </c>
      <c r="F916" s="1334"/>
      <c r="G916" s="1700"/>
      <c r="H916" s="1686"/>
      <c r="I916" s="1690"/>
      <c r="J916" s="1688"/>
      <c r="K916" s="1690"/>
      <c r="L916" s="1692"/>
      <c r="M916" s="1694"/>
      <c r="N916" s="159"/>
    </row>
    <row r="917" spans="2:14" ht="15" thickBot="1">
      <c r="B917" s="21" t="s">
        <v>326</v>
      </c>
      <c r="C917" s="75" t="s">
        <v>1771</v>
      </c>
      <c r="D917" s="1270" t="s">
        <v>1214</v>
      </c>
      <c r="E917" s="68" t="s">
        <v>1772</v>
      </c>
      <c r="F917" s="1118" t="s">
        <v>108</v>
      </c>
      <c r="G917" s="1282">
        <v>2.16</v>
      </c>
      <c r="H917" s="1160">
        <v>66</v>
      </c>
      <c r="I917" s="1244">
        <v>13.5</v>
      </c>
      <c r="J917" s="1274">
        <v>36.369999999999997</v>
      </c>
      <c r="K917" s="1160">
        <v>75</v>
      </c>
      <c r="L917" s="1114">
        <v>1012.34</v>
      </c>
      <c r="M917" s="1274">
        <v>2727.45</v>
      </c>
      <c r="N917" s="159"/>
    </row>
    <row r="918" spans="2:14">
      <c r="C918" s="76" t="s">
        <v>1773</v>
      </c>
      <c r="D918" s="1278"/>
      <c r="E918" s="69" t="s">
        <v>1774</v>
      </c>
      <c r="F918" s="1119"/>
      <c r="G918" s="1697"/>
      <c r="H918" s="1686"/>
      <c r="I918" s="1686"/>
      <c r="J918" s="1689"/>
      <c r="K918" s="1686"/>
      <c r="L918" s="1687"/>
      <c r="M918" s="1689"/>
      <c r="N918" s="159"/>
    </row>
    <row r="919" spans="2:14">
      <c r="C919" s="76" t="s">
        <v>1775</v>
      </c>
      <c r="D919" s="1278"/>
      <c r="E919" s="69" t="s">
        <v>1776</v>
      </c>
      <c r="F919" s="1119"/>
      <c r="G919" s="1697"/>
      <c r="H919" s="1686"/>
      <c r="I919" s="1686"/>
      <c r="J919" s="1689"/>
      <c r="K919" s="1686"/>
      <c r="L919" s="1687"/>
      <c r="M919" s="1689"/>
      <c r="N919" s="159"/>
    </row>
    <row r="920" spans="2:14">
      <c r="C920" s="76" t="s">
        <v>1777</v>
      </c>
      <c r="D920" s="1278"/>
      <c r="E920" s="69" t="s">
        <v>1778</v>
      </c>
      <c r="F920" s="1119"/>
      <c r="G920" s="1697"/>
      <c r="H920" s="1686"/>
      <c r="I920" s="1686"/>
      <c r="J920" s="1689"/>
      <c r="K920" s="1686"/>
      <c r="L920" s="1687"/>
      <c r="M920" s="1689"/>
      <c r="N920" s="159"/>
    </row>
    <row r="921" spans="2:14">
      <c r="C921" s="76" t="s">
        <v>1779</v>
      </c>
      <c r="D921" s="1278"/>
      <c r="E921" s="69" t="s">
        <v>1780</v>
      </c>
      <c r="F921" s="1119"/>
      <c r="G921" s="1697"/>
      <c r="H921" s="1686"/>
      <c r="I921" s="1686"/>
      <c r="J921" s="1689"/>
      <c r="K921" s="1686"/>
      <c r="L921" s="1687"/>
      <c r="M921" s="1689"/>
      <c r="N921" s="159"/>
    </row>
    <row r="922" spans="2:14">
      <c r="C922" s="76" t="s">
        <v>1781</v>
      </c>
      <c r="D922" s="1278"/>
      <c r="E922" s="69" t="s">
        <v>1782</v>
      </c>
      <c r="F922" s="1119"/>
      <c r="G922" s="1697"/>
      <c r="H922" s="1686"/>
      <c r="I922" s="1686"/>
      <c r="J922" s="1689"/>
      <c r="K922" s="1686"/>
      <c r="L922" s="1687"/>
      <c r="M922" s="1689"/>
      <c r="N922" s="159"/>
    </row>
    <row r="923" spans="2:14">
      <c r="C923" s="76" t="s">
        <v>1783</v>
      </c>
      <c r="D923" s="1278"/>
      <c r="E923" s="69" t="s">
        <v>1784</v>
      </c>
      <c r="F923" s="1119"/>
      <c r="G923" s="1697"/>
      <c r="H923" s="1686"/>
      <c r="I923" s="1686"/>
      <c r="J923" s="1689"/>
      <c r="K923" s="1686"/>
      <c r="L923" s="1687"/>
      <c r="M923" s="1689"/>
      <c r="N923" s="159"/>
    </row>
    <row r="924" spans="2:14" ht="15" thickBot="1">
      <c r="C924" s="78" t="s">
        <v>1785</v>
      </c>
      <c r="D924" s="1271"/>
      <c r="E924" s="72" t="s">
        <v>1786</v>
      </c>
      <c r="F924" s="1120"/>
      <c r="G924" s="1700"/>
      <c r="H924" s="1690"/>
      <c r="I924" s="1690"/>
      <c r="J924" s="1694"/>
      <c r="K924" s="1690"/>
      <c r="L924" s="1692"/>
      <c r="M924" s="1694"/>
      <c r="N924" s="159"/>
    </row>
    <row r="925" spans="2:14" ht="15" thickBot="1">
      <c r="C925" s="76" t="s">
        <v>1787</v>
      </c>
      <c r="D925" s="1270" t="s">
        <v>1788</v>
      </c>
      <c r="E925" s="69" t="s">
        <v>1789</v>
      </c>
      <c r="F925" s="1118" t="s">
        <v>108</v>
      </c>
      <c r="G925" s="1282">
        <v>2.4</v>
      </c>
      <c r="H925" s="1160">
        <v>48</v>
      </c>
      <c r="I925" s="1471">
        <v>2.5830000000000002</v>
      </c>
      <c r="J925" s="1348">
        <v>8.93</v>
      </c>
      <c r="K925" s="1160">
        <v>138</v>
      </c>
      <c r="L925" s="1114">
        <v>356.5</v>
      </c>
      <c r="M925" s="1274">
        <v>1232.06</v>
      </c>
      <c r="N925" s="159"/>
    </row>
    <row r="926" spans="2:14">
      <c r="C926" s="76" t="s">
        <v>1790</v>
      </c>
      <c r="D926" s="1278"/>
      <c r="E926" s="69" t="s">
        <v>1791</v>
      </c>
      <c r="F926" s="1119"/>
      <c r="G926" s="1697"/>
      <c r="H926" s="1686"/>
      <c r="I926" s="1686"/>
      <c r="J926" s="1688"/>
      <c r="K926" s="1686"/>
      <c r="L926" s="1687"/>
      <c r="M926" s="1689"/>
      <c r="N926" s="159"/>
    </row>
    <row r="927" spans="2:14">
      <c r="C927" s="76" t="s">
        <v>1792</v>
      </c>
      <c r="D927" s="1278"/>
      <c r="E927" s="69" t="s">
        <v>1793</v>
      </c>
      <c r="F927" s="1119"/>
      <c r="G927" s="1697"/>
      <c r="H927" s="1686"/>
      <c r="I927" s="1686"/>
      <c r="J927" s="1688"/>
      <c r="K927" s="1686"/>
      <c r="L927" s="1687"/>
      <c r="M927" s="1689"/>
      <c r="N927" s="159"/>
    </row>
    <row r="928" spans="2:14">
      <c r="C928" s="76" t="s">
        <v>1794</v>
      </c>
      <c r="D928" s="1278"/>
      <c r="E928" s="69" t="s">
        <v>1795</v>
      </c>
      <c r="F928" s="1119"/>
      <c r="G928" s="1697"/>
      <c r="H928" s="1686"/>
      <c r="I928" s="1686"/>
      <c r="J928" s="1688"/>
      <c r="K928" s="1686"/>
      <c r="L928" s="1687"/>
      <c r="M928" s="1689"/>
      <c r="N928" s="159"/>
    </row>
    <row r="929" spans="2:14">
      <c r="C929" s="76" t="s">
        <v>1796</v>
      </c>
      <c r="D929" s="1278"/>
      <c r="E929" s="69" t="s">
        <v>1797</v>
      </c>
      <c r="F929" s="1119"/>
      <c r="G929" s="1697"/>
      <c r="H929" s="1686"/>
      <c r="I929" s="1686"/>
      <c r="J929" s="1688"/>
      <c r="K929" s="1686"/>
      <c r="L929" s="1687"/>
      <c r="M929" s="1689"/>
      <c r="N929" s="159"/>
    </row>
    <row r="930" spans="2:14">
      <c r="C930" s="76" t="s">
        <v>1798</v>
      </c>
      <c r="D930" s="1278"/>
      <c r="E930" s="69" t="s">
        <v>1799</v>
      </c>
      <c r="F930" s="1119"/>
      <c r="G930" s="1697"/>
      <c r="H930" s="1686"/>
      <c r="I930" s="1686"/>
      <c r="J930" s="1688"/>
      <c r="K930" s="1686"/>
      <c r="L930" s="1687"/>
      <c r="M930" s="1689"/>
      <c r="N930" s="159"/>
    </row>
    <row r="931" spans="2:14" ht="15" thickBot="1">
      <c r="C931" s="78" t="s">
        <v>1800</v>
      </c>
      <c r="D931" s="1271"/>
      <c r="E931" s="72" t="s">
        <v>1801</v>
      </c>
      <c r="F931" s="1120"/>
      <c r="G931" s="1700"/>
      <c r="H931" s="1690"/>
      <c r="I931" s="1690"/>
      <c r="J931" s="1701"/>
      <c r="K931" s="1690"/>
      <c r="L931" s="1692"/>
      <c r="M931" s="1694"/>
      <c r="N931" s="159"/>
    </row>
    <row r="932" spans="2:14" ht="15" thickBot="1">
      <c r="C932" s="422"/>
      <c r="D932" s="165"/>
      <c r="E932" s="166"/>
      <c r="F932" s="243"/>
      <c r="G932" s="577"/>
      <c r="H932" s="167"/>
      <c r="I932" s="163"/>
      <c r="J932" s="168"/>
      <c r="K932" s="167"/>
      <c r="L932" s="381"/>
      <c r="M932" s="163"/>
      <c r="N932" s="159"/>
    </row>
    <row r="933" spans="2:14" ht="31.5" customHeight="1" thickBot="1">
      <c r="C933" s="63" t="s">
        <v>1802</v>
      </c>
      <c r="E933" s="242"/>
      <c r="G933" s="549"/>
      <c r="H933" s="1131" t="s">
        <v>101</v>
      </c>
      <c r="I933" s="1716"/>
      <c r="J933" s="1717"/>
      <c r="K933" s="1133" t="s">
        <v>102</v>
      </c>
      <c r="L933" s="1675"/>
      <c r="M933" s="1676"/>
      <c r="N933" s="26"/>
    </row>
    <row r="934" spans="2:14" ht="15" customHeight="1" thickBot="1">
      <c r="C934" s="27" t="s">
        <v>103</v>
      </c>
      <c r="D934" s="32" t="s">
        <v>104</v>
      </c>
      <c r="E934" s="30" t="s">
        <v>105</v>
      </c>
      <c r="F934" s="32" t="s">
        <v>106</v>
      </c>
      <c r="G934" s="32" t="s">
        <v>107</v>
      </c>
      <c r="H934" s="43" t="s">
        <v>108</v>
      </c>
      <c r="I934" s="44" t="s">
        <v>109</v>
      </c>
      <c r="J934" s="55" t="s">
        <v>110</v>
      </c>
      <c r="K934" s="43" t="s">
        <v>111</v>
      </c>
      <c r="L934" s="44" t="s">
        <v>109</v>
      </c>
      <c r="M934" s="55" t="s">
        <v>110</v>
      </c>
      <c r="N934" s="37"/>
    </row>
    <row r="935" spans="2:14" ht="15" thickBot="1">
      <c r="B935" s="21" t="s">
        <v>112</v>
      </c>
      <c r="C935" s="921" t="s">
        <v>1803</v>
      </c>
      <c r="D935" s="1162" t="s">
        <v>259</v>
      </c>
      <c r="E935" s="246" t="s">
        <v>1804</v>
      </c>
      <c r="F935" s="1162" t="s">
        <v>109</v>
      </c>
      <c r="G935" s="1178">
        <v>3</v>
      </c>
      <c r="H935" s="1360">
        <v>3</v>
      </c>
      <c r="I935" s="1197">
        <v>11.63</v>
      </c>
      <c r="J935" s="1197">
        <v>50.04</v>
      </c>
      <c r="K935" s="1360">
        <v>40</v>
      </c>
      <c r="L935" s="1197">
        <v>465.2</v>
      </c>
      <c r="M935" s="1197">
        <v>2001.6</v>
      </c>
      <c r="N935" s="37"/>
    </row>
    <row r="936" spans="2:14">
      <c r="C936" s="76" t="s">
        <v>1805</v>
      </c>
      <c r="D936" s="1164"/>
      <c r="E936" s="76" t="s">
        <v>1806</v>
      </c>
      <c r="F936" s="1164"/>
      <c r="G936" s="1677"/>
      <c r="H936" s="1718"/>
      <c r="I936" s="1718"/>
      <c r="J936" s="1718"/>
      <c r="K936" s="1718"/>
      <c r="L936" s="1718"/>
      <c r="M936" s="1718"/>
      <c r="N936" s="37"/>
    </row>
    <row r="937" spans="2:14" ht="15" thickBot="1">
      <c r="C937" s="78" t="s">
        <v>1807</v>
      </c>
      <c r="D937" s="1163"/>
      <c r="E937" s="78" t="s">
        <v>1808</v>
      </c>
      <c r="F937" s="1164"/>
      <c r="G937" s="1679"/>
      <c r="H937" s="1044">
        <v>7</v>
      </c>
      <c r="I937" s="1032">
        <v>27.13</v>
      </c>
      <c r="J937" s="1032">
        <v>91.92</v>
      </c>
      <c r="K937" s="1044">
        <v>24</v>
      </c>
      <c r="L937" s="1032">
        <v>651.12</v>
      </c>
      <c r="M937" s="1032">
        <v>2206.0100000000002</v>
      </c>
      <c r="N937" s="37"/>
    </row>
    <row r="938" spans="2:14" ht="15" thickBot="1">
      <c r="B938" s="885"/>
      <c r="C938" s="922" t="s">
        <v>1809</v>
      </c>
      <c r="D938" s="1270" t="s">
        <v>119</v>
      </c>
      <c r="E938" s="75" t="s">
        <v>1810</v>
      </c>
      <c r="F938" s="1164"/>
      <c r="G938" s="1178">
        <v>3.6</v>
      </c>
      <c r="H938" s="1038">
        <v>2</v>
      </c>
      <c r="I938" s="1047" t="s">
        <v>1811</v>
      </c>
      <c r="J938" s="1032">
        <v>67.42</v>
      </c>
      <c r="K938" s="1038">
        <v>35</v>
      </c>
      <c r="L938" s="1048" t="e">
        <f>K938*I938</f>
        <v>#VALUE!</v>
      </c>
      <c r="M938" s="1048">
        <v>2359.63</v>
      </c>
      <c r="N938" s="159"/>
    </row>
    <row r="939" spans="2:14" ht="15" thickBot="1">
      <c r="B939" s="51"/>
      <c r="C939" s="923" t="s">
        <v>1812</v>
      </c>
      <c r="D939" s="1271"/>
      <c r="E939" s="78" t="s">
        <v>1813</v>
      </c>
      <c r="F939" s="1164"/>
      <c r="G939" s="1679"/>
      <c r="H939" s="1038">
        <v>2</v>
      </c>
      <c r="I939" s="1047" t="s">
        <v>1811</v>
      </c>
      <c r="J939" s="1032">
        <v>43.83</v>
      </c>
      <c r="K939" s="1038">
        <v>35</v>
      </c>
      <c r="L939" s="1048">
        <v>542.5</v>
      </c>
      <c r="M939" s="1048">
        <v>2191.35</v>
      </c>
      <c r="N939" s="159"/>
    </row>
    <row r="940" spans="2:14" ht="15" thickBot="1">
      <c r="B940" s="21" t="s">
        <v>213</v>
      </c>
      <c r="C940" s="921" t="s">
        <v>1814</v>
      </c>
      <c r="D940" s="1270" t="s">
        <v>278</v>
      </c>
      <c r="E940" s="246" t="s">
        <v>1815</v>
      </c>
      <c r="F940" s="1164"/>
      <c r="G940" s="1282">
        <v>3.9</v>
      </c>
      <c r="H940" s="1185">
        <v>4</v>
      </c>
      <c r="I940" s="1387" t="s">
        <v>1816</v>
      </c>
      <c r="J940" s="1562">
        <v>45.185000000000002</v>
      </c>
      <c r="K940" s="1185">
        <v>48</v>
      </c>
      <c r="L940" s="1376" t="e">
        <f>K940*I940</f>
        <v>#VALUE!</v>
      </c>
      <c r="M940" s="1359">
        <f>K940*J940</f>
        <v>2168.88</v>
      </c>
      <c r="N940" s="159"/>
    </row>
    <row r="941" spans="2:14" ht="15" thickBot="1">
      <c r="B941" s="51"/>
      <c r="C941" s="78" t="s">
        <v>1817</v>
      </c>
      <c r="D941" s="1271"/>
      <c r="E941" s="78" t="s">
        <v>1818</v>
      </c>
      <c r="F941" s="1163"/>
      <c r="G941" s="1700"/>
      <c r="H941" s="1712"/>
      <c r="I941" s="1712"/>
      <c r="J941" s="1742"/>
      <c r="K941" s="1712"/>
      <c r="L941" s="1714"/>
      <c r="M941" s="1715"/>
      <c r="N941" s="159"/>
    </row>
    <row r="942" spans="2:14" ht="15" thickBot="1">
      <c r="D942" s="165"/>
      <c r="E942" s="166"/>
      <c r="F942" s="243"/>
      <c r="G942" s="577"/>
      <c r="H942" s="167"/>
      <c r="I942" s="163"/>
      <c r="J942" s="168"/>
      <c r="K942" s="167"/>
      <c r="L942" s="381"/>
      <c r="M942" s="163"/>
      <c r="N942" s="159"/>
    </row>
    <row r="943" spans="2:14" ht="31.5" customHeight="1" thickBot="1">
      <c r="C943" s="63" t="s">
        <v>1819</v>
      </c>
      <c r="E943" s="242"/>
      <c r="G943" s="549"/>
      <c r="H943" s="1131" t="s">
        <v>101</v>
      </c>
      <c r="I943" s="1716"/>
      <c r="J943" s="1717"/>
      <c r="K943" s="1133" t="s">
        <v>102</v>
      </c>
      <c r="L943" s="1675"/>
      <c r="M943" s="1676"/>
      <c r="N943" s="26"/>
    </row>
    <row r="944" spans="2:14" ht="15" customHeight="1" thickBot="1">
      <c r="C944" s="28" t="s">
        <v>103</v>
      </c>
      <c r="D944" s="32" t="s">
        <v>104</v>
      </c>
      <c r="E944" s="30" t="s">
        <v>105</v>
      </c>
      <c r="F944" s="32" t="s">
        <v>106</v>
      </c>
      <c r="G944" s="32" t="s">
        <v>107</v>
      </c>
      <c r="H944" s="43" t="s">
        <v>108</v>
      </c>
      <c r="I944" s="44" t="s">
        <v>109</v>
      </c>
      <c r="J944" s="55" t="s">
        <v>110</v>
      </c>
      <c r="K944" s="43" t="s">
        <v>111</v>
      </c>
      <c r="L944" s="44" t="s">
        <v>109</v>
      </c>
      <c r="M944" s="55" t="s">
        <v>110</v>
      </c>
      <c r="N944" s="37"/>
    </row>
    <row r="945" spans="2:14" ht="15" thickBot="1">
      <c r="B945" s="21" t="s">
        <v>112</v>
      </c>
      <c r="C945" s="607" t="s">
        <v>1820</v>
      </c>
      <c r="D945" s="1162" t="s">
        <v>1821</v>
      </c>
      <c r="E945" s="246" t="s">
        <v>1822</v>
      </c>
      <c r="F945" s="1459" t="s">
        <v>109</v>
      </c>
      <c r="G945" s="1282">
        <v>3.6</v>
      </c>
      <c r="H945" s="1112">
        <v>3</v>
      </c>
      <c r="I945" s="1159">
        <f>L945/K945</f>
        <v>13.455</v>
      </c>
      <c r="J945" s="1136">
        <v>57.33</v>
      </c>
      <c r="K945" s="1112">
        <v>48</v>
      </c>
      <c r="L945" s="1113">
        <v>645.84</v>
      </c>
      <c r="M945" s="1136">
        <v>2778.3</v>
      </c>
      <c r="N945" s="37"/>
    </row>
    <row r="946" spans="2:14">
      <c r="B946" s="51"/>
      <c r="C946" s="76" t="s">
        <v>1823</v>
      </c>
      <c r="D946" s="1164"/>
      <c r="E946" s="246" t="s">
        <v>1824</v>
      </c>
      <c r="F946" s="1459"/>
      <c r="G946" s="1697"/>
      <c r="H946" s="1686"/>
      <c r="I946" s="1686"/>
      <c r="J946" s="1689"/>
      <c r="K946" s="1686"/>
      <c r="L946" s="1687"/>
      <c r="M946" s="1689"/>
      <c r="N946" s="37"/>
    </row>
    <row r="947" spans="2:14" ht="15" thickBot="1">
      <c r="B947" s="51"/>
      <c r="C947" s="78" t="s">
        <v>1825</v>
      </c>
      <c r="D947" s="1163"/>
      <c r="E947" s="262" t="s">
        <v>1826</v>
      </c>
      <c r="F947" s="1460"/>
      <c r="G947" s="1700"/>
      <c r="H947" s="1690"/>
      <c r="I947" s="1690"/>
      <c r="J947" s="1694"/>
      <c r="K947" s="1690"/>
      <c r="L947" s="1692"/>
      <c r="M947" s="1694"/>
      <c r="N947" s="37"/>
    </row>
    <row r="948" spans="2:14" ht="15" thickBot="1">
      <c r="C948" s="422" t="s">
        <v>247</v>
      </c>
      <c r="D948" s="243"/>
      <c r="E948" s="242"/>
      <c r="F948" s="243"/>
      <c r="G948" s="243"/>
      <c r="H948" s="80"/>
      <c r="I948" s="328"/>
      <c r="J948" s="80"/>
      <c r="K948" s="80"/>
      <c r="L948" s="80"/>
      <c r="M948" s="80"/>
      <c r="N948" s="80"/>
    </row>
    <row r="949" spans="2:14" ht="31.5" customHeight="1" thickBot="1">
      <c r="C949" s="63" t="s">
        <v>1827</v>
      </c>
      <c r="E949" s="242"/>
      <c r="G949" s="549"/>
      <c r="H949" s="1131" t="s">
        <v>101</v>
      </c>
      <c r="I949" s="1716"/>
      <c r="J949" s="1717"/>
      <c r="K949" s="1133" t="s">
        <v>102</v>
      </c>
      <c r="L949" s="1675"/>
      <c r="M949" s="1676"/>
      <c r="N949" s="26"/>
    </row>
    <row r="950" spans="2:14" ht="15" customHeight="1" thickBot="1">
      <c r="C950" s="28"/>
      <c r="D950" s="32" t="s">
        <v>104</v>
      </c>
      <c r="E950" s="30" t="s">
        <v>105</v>
      </c>
      <c r="F950" s="32" t="s">
        <v>106</v>
      </c>
      <c r="G950" s="169" t="s">
        <v>107</v>
      </c>
      <c r="H950" s="43" t="s">
        <v>108</v>
      </c>
      <c r="I950" s="44" t="s">
        <v>109</v>
      </c>
      <c r="J950" s="55" t="s">
        <v>110</v>
      </c>
      <c r="K950" s="33" t="s">
        <v>111</v>
      </c>
      <c r="L950" s="34" t="s">
        <v>109</v>
      </c>
      <c r="M950" s="36" t="s">
        <v>110</v>
      </c>
      <c r="N950" s="37"/>
    </row>
    <row r="951" spans="2:14" ht="15" customHeight="1">
      <c r="B951" s="21" t="s">
        <v>112</v>
      </c>
      <c r="C951" s="223" t="s">
        <v>1828</v>
      </c>
      <c r="D951" s="1118" t="s">
        <v>114</v>
      </c>
      <c r="E951" s="240" t="s">
        <v>1829</v>
      </c>
      <c r="F951" s="1118" t="s">
        <v>109</v>
      </c>
      <c r="G951" s="548">
        <v>1.92</v>
      </c>
      <c r="H951" s="339">
        <v>10</v>
      </c>
      <c r="I951" s="340">
        <v>20.343800000000002</v>
      </c>
      <c r="J951" s="341">
        <v>79.73</v>
      </c>
      <c r="K951" s="339">
        <v>32</v>
      </c>
      <c r="L951" s="340">
        <v>651</v>
      </c>
      <c r="M951" s="341">
        <v>2551.36</v>
      </c>
      <c r="N951" s="328"/>
    </row>
    <row r="952" spans="2:14" ht="15" thickBot="1">
      <c r="B952" s="51"/>
      <c r="C952" s="429" t="s">
        <v>1830</v>
      </c>
      <c r="D952" s="1120"/>
      <c r="E952" s="1" t="s">
        <v>1831</v>
      </c>
      <c r="F952" s="1120"/>
      <c r="G952" s="552">
        <v>2.58</v>
      </c>
      <c r="H952" s="342">
        <v>10</v>
      </c>
      <c r="I952" s="343">
        <v>18.8368</v>
      </c>
      <c r="J952" s="344">
        <v>77.55</v>
      </c>
      <c r="K952" s="342">
        <v>32</v>
      </c>
      <c r="L952" s="343">
        <v>602.78</v>
      </c>
      <c r="M952" s="344">
        <v>2481.6</v>
      </c>
      <c r="N952" s="328"/>
    </row>
    <row r="953" spans="2:14" ht="15" customHeight="1" thickBot="1">
      <c r="B953" s="51"/>
      <c r="C953" s="170" t="s">
        <v>1832</v>
      </c>
      <c r="D953" s="1118" t="s">
        <v>119</v>
      </c>
      <c r="E953" s="240" t="s">
        <v>1833</v>
      </c>
      <c r="F953" s="1118" t="s">
        <v>109</v>
      </c>
      <c r="G953" s="548">
        <v>2.64</v>
      </c>
      <c r="H953" s="330">
        <v>2</v>
      </c>
      <c r="I953" s="331">
        <v>15.28</v>
      </c>
      <c r="J953" s="337">
        <v>73.58</v>
      </c>
      <c r="K953" s="330">
        <v>30</v>
      </c>
      <c r="L953" s="331">
        <v>458.54</v>
      </c>
      <c r="M953" s="337">
        <v>2207.46</v>
      </c>
      <c r="N953" s="328"/>
    </row>
    <row r="954" spans="2:14" ht="15" thickBot="1">
      <c r="C954" s="924" t="s">
        <v>1834</v>
      </c>
      <c r="D954" s="1119"/>
      <c r="E954" s="240" t="s">
        <v>1833</v>
      </c>
      <c r="F954" s="1119"/>
      <c r="G954" s="548">
        <v>2.64</v>
      </c>
      <c r="H954" s="1117">
        <v>3</v>
      </c>
      <c r="I954" s="1114">
        <v>22.96</v>
      </c>
      <c r="J954" s="1116">
        <v>84.14</v>
      </c>
      <c r="K954" s="1117">
        <v>27</v>
      </c>
      <c r="L954" s="1114">
        <v>619.92999999999995</v>
      </c>
      <c r="M954" s="1116">
        <v>2271.81</v>
      </c>
      <c r="N954" s="328"/>
    </row>
    <row r="955" spans="2:14" ht="15" thickBot="1">
      <c r="C955" s="925" t="s">
        <v>1835</v>
      </c>
      <c r="D955" s="1120"/>
      <c r="E955" s="1" t="s">
        <v>1836</v>
      </c>
      <c r="F955" s="1120"/>
      <c r="G955" s="552">
        <v>3.18</v>
      </c>
      <c r="H955" s="1690"/>
      <c r="I955" s="1692"/>
      <c r="J955" s="1694"/>
      <c r="K955" s="1690"/>
      <c r="L955" s="1692"/>
      <c r="M955" s="1694"/>
      <c r="N955" s="328"/>
    </row>
    <row r="956" spans="2:14" ht="15" thickBot="1">
      <c r="C956" s="216" t="s">
        <v>1837</v>
      </c>
      <c r="D956" s="255" t="s">
        <v>523</v>
      </c>
      <c r="E956" s="267" t="s">
        <v>1838</v>
      </c>
      <c r="F956" s="255" t="s">
        <v>108</v>
      </c>
      <c r="G956" s="545">
        <v>9.42</v>
      </c>
      <c r="H956" s="324">
        <v>11</v>
      </c>
      <c r="I956" s="325">
        <v>13.132</v>
      </c>
      <c r="J956" s="326">
        <v>45.771099999999997</v>
      </c>
      <c r="K956" s="324">
        <v>36</v>
      </c>
      <c r="L956" s="325">
        <v>396</v>
      </c>
      <c r="M956" s="326">
        <v>1647.76</v>
      </c>
      <c r="N956" s="328"/>
    </row>
    <row r="957" spans="2:14" ht="15" thickBot="1">
      <c r="C957" s="216" t="s">
        <v>1839</v>
      </c>
      <c r="D957" s="255" t="s">
        <v>250</v>
      </c>
      <c r="E957" s="267" t="s">
        <v>1840</v>
      </c>
      <c r="F957" s="255" t="s">
        <v>108</v>
      </c>
      <c r="G957" s="545">
        <v>9.42</v>
      </c>
      <c r="H957" s="324">
        <v>16</v>
      </c>
      <c r="I957" s="325">
        <v>16.11</v>
      </c>
      <c r="J957" s="326">
        <v>35.93</v>
      </c>
      <c r="K957" s="324">
        <v>72</v>
      </c>
      <c r="L957" s="325">
        <v>1159.92</v>
      </c>
      <c r="M957" s="326">
        <v>2586.96</v>
      </c>
      <c r="N957" s="328"/>
    </row>
    <row r="958" spans="2:14" ht="15" thickBot="1">
      <c r="B958" s="21" t="s">
        <v>326</v>
      </c>
      <c r="C958" s="225" t="s">
        <v>1841</v>
      </c>
      <c r="D958" s="255" t="s">
        <v>227</v>
      </c>
      <c r="E958" s="267" t="s">
        <v>1842</v>
      </c>
      <c r="F958" s="255" t="s">
        <v>108</v>
      </c>
      <c r="G958" s="545">
        <v>2.52</v>
      </c>
      <c r="H958" s="324">
        <v>24</v>
      </c>
      <c r="I958" s="325">
        <v>5.9202000000000004</v>
      </c>
      <c r="J958" s="326">
        <v>21.431999999999999</v>
      </c>
      <c r="K958" s="324">
        <v>96</v>
      </c>
      <c r="L958" s="358">
        <v>568.33920000000001</v>
      </c>
      <c r="M958" s="369">
        <v>2057.4699999999998</v>
      </c>
      <c r="N958" s="328"/>
    </row>
    <row r="959" spans="2:14" ht="16.5" customHeight="1" thickBot="1">
      <c r="B959" s="21" t="s">
        <v>213</v>
      </c>
      <c r="C959" s="225" t="s">
        <v>1843</v>
      </c>
      <c r="D959" s="255" t="s">
        <v>531</v>
      </c>
      <c r="E959" s="267" t="s">
        <v>1844</v>
      </c>
      <c r="F959" s="255" t="s">
        <v>109</v>
      </c>
      <c r="G959" s="545">
        <v>2.1</v>
      </c>
      <c r="H959" s="324">
        <v>16</v>
      </c>
      <c r="I959" s="325">
        <v>11.947900000000001</v>
      </c>
      <c r="J959" s="326">
        <v>32.527999999999999</v>
      </c>
      <c r="K959" s="324">
        <v>55</v>
      </c>
      <c r="L959" s="358">
        <v>657.13</v>
      </c>
      <c r="M959" s="369">
        <v>1789.04</v>
      </c>
      <c r="N959" s="328"/>
    </row>
    <row r="960" spans="2:14" ht="16.5" customHeight="1" thickBot="1">
      <c r="C960" s="225" t="s">
        <v>1845</v>
      </c>
      <c r="D960" s="255" t="s">
        <v>178</v>
      </c>
      <c r="E960" s="267" t="s">
        <v>1846</v>
      </c>
      <c r="F960" s="255" t="s">
        <v>109</v>
      </c>
      <c r="G960" s="545">
        <v>2.52</v>
      </c>
      <c r="H960" s="1117">
        <v>50</v>
      </c>
      <c r="I960" s="325">
        <v>12.64</v>
      </c>
      <c r="J960" s="326">
        <v>27.67</v>
      </c>
      <c r="K960" s="1117">
        <v>84</v>
      </c>
      <c r="L960" s="1285">
        <v>1061.76</v>
      </c>
      <c r="M960" s="369">
        <v>2324.5100000000002</v>
      </c>
      <c r="N960" s="328"/>
    </row>
    <row r="961" spans="2:14" ht="16.5" customHeight="1" thickBot="1">
      <c r="C961" s="225" t="s">
        <v>1847</v>
      </c>
      <c r="D961" s="255" t="s">
        <v>227</v>
      </c>
      <c r="E961" s="267" t="s">
        <v>1848</v>
      </c>
      <c r="F961" s="255" t="s">
        <v>108</v>
      </c>
      <c r="G961" s="545">
        <v>3.78</v>
      </c>
      <c r="H961" s="1690"/>
      <c r="I961" s="325">
        <v>12.64</v>
      </c>
      <c r="J961" s="326">
        <v>41.12</v>
      </c>
      <c r="K961" s="1690"/>
      <c r="L961" s="1692"/>
      <c r="M961" s="369">
        <v>3454.35</v>
      </c>
      <c r="N961" s="328"/>
    </row>
    <row r="962" spans="2:14" ht="15" customHeight="1" thickBot="1">
      <c r="C962" s="225" t="s">
        <v>1849</v>
      </c>
      <c r="D962" s="255" t="s">
        <v>534</v>
      </c>
      <c r="E962" s="267" t="s">
        <v>1850</v>
      </c>
      <c r="F962" s="255" t="s">
        <v>108</v>
      </c>
      <c r="G962" s="545">
        <v>3.78</v>
      </c>
      <c r="H962" s="324">
        <v>16</v>
      </c>
      <c r="I962" s="325">
        <v>11.947900000000001</v>
      </c>
      <c r="J962" s="326">
        <v>32.591999999999999</v>
      </c>
      <c r="K962" s="324">
        <v>65</v>
      </c>
      <c r="L962" s="358">
        <v>776.61350000000004</v>
      </c>
      <c r="M962" s="369">
        <v>2118.48</v>
      </c>
      <c r="N962" s="328"/>
    </row>
    <row r="963" spans="2:14" ht="15" customHeight="1" thickBot="1">
      <c r="C963" s="256"/>
      <c r="D963" s="243"/>
      <c r="E963" s="242"/>
      <c r="F963" s="243"/>
      <c r="G963" s="243"/>
      <c r="H963" s="80"/>
      <c r="I963" s="328"/>
      <c r="J963" s="80"/>
      <c r="K963" s="80"/>
      <c r="L963" s="80"/>
      <c r="M963" s="80"/>
      <c r="N963" s="80"/>
    </row>
    <row r="964" spans="2:14" ht="32.1" customHeight="1" thickBot="1">
      <c r="C964" s="63" t="s">
        <v>1851</v>
      </c>
      <c r="G964" s="549"/>
      <c r="H964" s="1133" t="s">
        <v>101</v>
      </c>
      <c r="I964" s="1675"/>
      <c r="J964" s="1676"/>
      <c r="K964" s="1133" t="s">
        <v>102</v>
      </c>
      <c r="L964" s="1675"/>
      <c r="M964" s="1676"/>
      <c r="N964" s="26"/>
    </row>
    <row r="965" spans="2:14" ht="15" customHeight="1" thickBot="1">
      <c r="C965" s="29" t="s">
        <v>103</v>
      </c>
      <c r="D965" s="31" t="s">
        <v>104</v>
      </c>
      <c r="E965" s="42" t="s">
        <v>105</v>
      </c>
      <c r="F965" s="31" t="s">
        <v>106</v>
      </c>
      <c r="G965" s="32" t="s">
        <v>107</v>
      </c>
      <c r="H965" s="43" t="s">
        <v>108</v>
      </c>
      <c r="I965" s="44" t="s">
        <v>109</v>
      </c>
      <c r="J965" s="55" t="s">
        <v>110</v>
      </c>
      <c r="K965" s="43" t="s">
        <v>111</v>
      </c>
      <c r="L965" s="44" t="s">
        <v>109</v>
      </c>
      <c r="M965" s="55" t="s">
        <v>110</v>
      </c>
      <c r="N965" s="37"/>
    </row>
    <row r="966" spans="2:14" ht="15" thickBot="1">
      <c r="B966" s="21" t="s">
        <v>112</v>
      </c>
      <c r="C966" s="250" t="s">
        <v>1852</v>
      </c>
      <c r="D966" s="1118" t="s">
        <v>114</v>
      </c>
      <c r="E966" s="240" t="s">
        <v>1853</v>
      </c>
      <c r="F966" s="1118" t="s">
        <v>109</v>
      </c>
      <c r="G966" s="1151">
        <v>1.8</v>
      </c>
      <c r="H966" s="1117">
        <v>10</v>
      </c>
      <c r="I966" s="1128">
        <v>20.34</v>
      </c>
      <c r="J966" s="1116">
        <v>79.48</v>
      </c>
      <c r="K966" s="1117">
        <v>36</v>
      </c>
      <c r="L966" s="1114">
        <v>732.74</v>
      </c>
      <c r="M966" s="1116">
        <v>2861.28</v>
      </c>
      <c r="N966" s="328"/>
    </row>
    <row r="967" spans="2:14">
      <c r="C967" s="251" t="s">
        <v>1854</v>
      </c>
      <c r="D967" s="1119"/>
      <c r="E967" s="241" t="s">
        <v>1855</v>
      </c>
      <c r="F967" s="1119"/>
      <c r="G967" s="1697"/>
      <c r="H967" s="1686"/>
      <c r="I967" s="1686"/>
      <c r="J967" s="1689"/>
      <c r="K967" s="1686"/>
      <c r="L967" s="1687"/>
      <c r="M967" s="1689"/>
      <c r="N967" s="328"/>
    </row>
    <row r="968" spans="2:14" ht="16.350000000000001" customHeight="1" thickBot="1">
      <c r="C968" s="251" t="s">
        <v>1856</v>
      </c>
      <c r="D968" s="1119"/>
      <c r="E968" s="241" t="s">
        <v>1857</v>
      </c>
      <c r="F968" s="1119"/>
      <c r="G968" s="1700"/>
      <c r="H968" s="1690"/>
      <c r="I968" s="1690"/>
      <c r="J968" s="1694"/>
      <c r="K968" s="1690"/>
      <c r="L968" s="1692"/>
      <c r="M968" s="1694"/>
      <c r="N968" s="328"/>
    </row>
    <row r="969" spans="2:14" ht="15" thickBot="1">
      <c r="C969" s="251" t="s">
        <v>1858</v>
      </c>
      <c r="D969" s="1119"/>
      <c r="E969" s="241" t="s">
        <v>1859</v>
      </c>
      <c r="F969" s="1118" t="s">
        <v>109</v>
      </c>
      <c r="G969" s="1151">
        <v>2.4</v>
      </c>
      <c r="H969" s="1242">
        <v>10</v>
      </c>
      <c r="I969" s="1128">
        <v>18.940000000000001</v>
      </c>
      <c r="J969" s="1243">
        <v>75.561199999999999</v>
      </c>
      <c r="K969" s="1117">
        <v>32</v>
      </c>
      <c r="L969" s="1114">
        <v>606.22</v>
      </c>
      <c r="M969" s="1116">
        <v>2417.92</v>
      </c>
      <c r="N969" s="328"/>
    </row>
    <row r="970" spans="2:14" ht="16.350000000000001" customHeight="1" thickBot="1">
      <c r="C970" s="241" t="s">
        <v>1860</v>
      </c>
      <c r="D970" s="1120"/>
      <c r="E970" s="241" t="s">
        <v>1861</v>
      </c>
      <c r="F970" s="1120"/>
      <c r="G970" s="1700"/>
      <c r="H970" s="1690"/>
      <c r="I970" s="1690"/>
      <c r="J970" s="1694"/>
      <c r="K970" s="1690"/>
      <c r="L970" s="1692"/>
      <c r="M970" s="1694"/>
      <c r="N970" s="328"/>
    </row>
    <row r="971" spans="2:14" ht="15" customHeight="1" thickBot="1">
      <c r="B971" s="189"/>
      <c r="C971" s="257" t="s">
        <v>1862</v>
      </c>
      <c r="D971" s="255" t="s">
        <v>574</v>
      </c>
      <c r="E971" s="267" t="s">
        <v>1863</v>
      </c>
      <c r="F971" s="238"/>
      <c r="G971" s="579">
        <v>3.12</v>
      </c>
      <c r="H971" s="330">
        <v>28</v>
      </c>
      <c r="I971" s="331">
        <v>10.356</v>
      </c>
      <c r="J971" s="337">
        <v>37.771999999999998</v>
      </c>
      <c r="K971" s="330">
        <v>60</v>
      </c>
      <c r="L971" s="331">
        <v>621.36</v>
      </c>
      <c r="M971" s="337">
        <v>2266.3200000000002</v>
      </c>
      <c r="N971" s="328"/>
    </row>
    <row r="972" spans="2:14" ht="15">
      <c r="B972" s="21" t="s">
        <v>326</v>
      </c>
      <c r="C972" s="250" t="s">
        <v>1864</v>
      </c>
      <c r="D972" s="1118" t="s">
        <v>227</v>
      </c>
      <c r="E972" s="240" t="s">
        <v>1865</v>
      </c>
      <c r="F972" s="1118" t="s">
        <v>108</v>
      </c>
      <c r="G972" s="1170">
        <v>2.2799999999999998</v>
      </c>
      <c r="H972" s="1117">
        <v>24</v>
      </c>
      <c r="I972" s="1128">
        <v>5.89</v>
      </c>
      <c r="J972" s="1116">
        <v>21.43</v>
      </c>
      <c r="K972" s="1117">
        <v>120</v>
      </c>
      <c r="L972" s="1114">
        <v>706.8</v>
      </c>
      <c r="M972" s="1116">
        <v>2571.84</v>
      </c>
      <c r="N972" s="328"/>
    </row>
    <row r="973" spans="2:14" ht="15">
      <c r="C973" s="252" t="s">
        <v>1866</v>
      </c>
      <c r="D973" s="1120"/>
      <c r="E973" s="1" t="s">
        <v>1867</v>
      </c>
      <c r="F973" s="1120"/>
      <c r="G973" s="1700"/>
      <c r="H973" s="1686"/>
      <c r="I973" s="1690"/>
      <c r="J973" s="1694"/>
      <c r="K973" s="1686"/>
      <c r="L973" s="1692"/>
      <c r="M973" s="1694"/>
      <c r="N973" s="328"/>
    </row>
    <row r="974" spans="2:14" ht="15">
      <c r="B974" s="21" t="s">
        <v>1868</v>
      </c>
      <c r="C974" s="250" t="s">
        <v>1869</v>
      </c>
      <c r="D974" s="1118" t="s">
        <v>523</v>
      </c>
      <c r="E974" s="240" t="s">
        <v>1870</v>
      </c>
      <c r="F974" s="1118" t="s">
        <v>108</v>
      </c>
      <c r="G974" s="1535">
        <v>9</v>
      </c>
      <c r="H974" s="1467">
        <v>11</v>
      </c>
      <c r="I974" s="1158">
        <v>13.15</v>
      </c>
      <c r="J974" s="1500">
        <v>45.76</v>
      </c>
      <c r="K974" s="1467">
        <v>54</v>
      </c>
      <c r="L974" s="1158">
        <v>710.32</v>
      </c>
      <c r="M974" s="1116">
        <v>2471.04</v>
      </c>
      <c r="N974" s="328"/>
    </row>
    <row r="975" spans="2:14" ht="15">
      <c r="C975" s="251" t="s">
        <v>1871</v>
      </c>
      <c r="D975" s="1119"/>
      <c r="E975" s="241" t="s">
        <v>1872</v>
      </c>
      <c r="F975" s="1119"/>
      <c r="G975" s="1677"/>
      <c r="H975" s="1740"/>
      <c r="I975" s="1720"/>
      <c r="J975" s="1688"/>
      <c r="K975" s="1740"/>
      <c r="L975" s="1720"/>
      <c r="M975" s="1689"/>
      <c r="N975" s="328"/>
    </row>
    <row r="976" spans="2:14" s="24" customFormat="1" ht="15">
      <c r="B976" s="21"/>
      <c r="C976" s="251" t="s">
        <v>1873</v>
      </c>
      <c r="D976" s="1119"/>
      <c r="E976" s="241" t="s">
        <v>1874</v>
      </c>
      <c r="F976" s="1119"/>
      <c r="G976" s="1677"/>
      <c r="H976" s="1740"/>
      <c r="I976" s="1720"/>
      <c r="J976" s="1688"/>
      <c r="K976" s="1740"/>
      <c r="L976" s="1720"/>
      <c r="M976" s="1689"/>
      <c r="N976" s="328"/>
    </row>
    <row r="977" spans="1:20" s="24" customFormat="1" ht="15">
      <c r="B977" s="21"/>
      <c r="C977" s="252" t="s">
        <v>1875</v>
      </c>
      <c r="D977" s="1120"/>
      <c r="E977" s="1" t="s">
        <v>1876</v>
      </c>
      <c r="F977" s="1120"/>
      <c r="G977" s="1679"/>
      <c r="H977" s="1741"/>
      <c r="I977" s="1706"/>
      <c r="J977" s="1701"/>
      <c r="K977" s="1741"/>
      <c r="L977" s="1706"/>
      <c r="M977" s="1694"/>
      <c r="N977" s="328"/>
    </row>
    <row r="978" spans="1:20" s="24" customFormat="1" ht="15">
      <c r="B978" s="21"/>
      <c r="C978" s="256"/>
      <c r="D978" s="243"/>
      <c r="E978" s="242"/>
      <c r="F978" s="243"/>
      <c r="G978" s="1089"/>
      <c r="H978" s="1089"/>
      <c r="I978" s="1089"/>
      <c r="J978" s="1089"/>
      <c r="K978" s="1089"/>
      <c r="L978" s="1089"/>
      <c r="M978" s="1089"/>
      <c r="N978" s="328"/>
    </row>
    <row r="979" spans="1:20" s="24" customFormat="1" ht="30">
      <c r="A979" s="20"/>
      <c r="B979" s="25"/>
      <c r="C979" s="1090" t="s">
        <v>1877</v>
      </c>
      <c r="D979" s="22"/>
      <c r="E979" s="20"/>
      <c r="F979" s="22"/>
      <c r="G979" s="22"/>
      <c r="H979" s="1316" t="s">
        <v>101</v>
      </c>
      <c r="I979" s="1317"/>
      <c r="J979" s="1317"/>
      <c r="K979" s="1316" t="s">
        <v>102</v>
      </c>
      <c r="L979" s="1317"/>
      <c r="M979" s="1318"/>
      <c r="N979" s="20"/>
      <c r="O979" s="20"/>
      <c r="P979" s="26"/>
      <c r="T979" s="20"/>
    </row>
    <row r="980" spans="1:20" s="24" customFormat="1" ht="15">
      <c r="A980" s="20"/>
      <c r="B980" s="25"/>
      <c r="C980" s="1091" t="s">
        <v>103</v>
      </c>
      <c r="D980" s="176" t="s">
        <v>104</v>
      </c>
      <c r="E980" s="42" t="s">
        <v>105</v>
      </c>
      <c r="F980" s="31" t="s">
        <v>106</v>
      </c>
      <c r="G980" s="31" t="s">
        <v>107</v>
      </c>
      <c r="H980" s="1093" t="s">
        <v>108</v>
      </c>
      <c r="I980" s="1094" t="s">
        <v>109</v>
      </c>
      <c r="J980" s="1095" t="s">
        <v>110</v>
      </c>
      <c r="K980" s="1093" t="s">
        <v>111</v>
      </c>
      <c r="L980" s="1094" t="s">
        <v>109</v>
      </c>
      <c r="M980" s="1096" t="s">
        <v>110</v>
      </c>
      <c r="N980" s="20"/>
      <c r="O980" s="20"/>
      <c r="P980" s="37"/>
      <c r="T980" s="20"/>
    </row>
    <row r="981" spans="1:20" s="24" customFormat="1" ht="15">
      <c r="A981" s="20"/>
      <c r="B981" s="21" t="s">
        <v>112</v>
      </c>
      <c r="C981" s="1092" t="s">
        <v>1878</v>
      </c>
      <c r="D981" s="1171" t="s">
        <v>114</v>
      </c>
      <c r="E981" s="1041" t="s">
        <v>1879</v>
      </c>
      <c r="F981" s="327" t="s">
        <v>109</v>
      </c>
      <c r="G981" s="1042">
        <v>2.82</v>
      </c>
      <c r="H981" s="531">
        <v>6</v>
      </c>
      <c r="I981" s="1043">
        <v>11.63</v>
      </c>
      <c r="J981" s="531">
        <v>48.5</v>
      </c>
      <c r="K981" s="531">
        <v>48</v>
      </c>
      <c r="L981" s="532">
        <v>558.24</v>
      </c>
      <c r="M981" s="533">
        <v>2327.9</v>
      </c>
      <c r="N981" s="20"/>
      <c r="O981" s="20"/>
      <c r="P981" s="328"/>
      <c r="T981" s="20"/>
    </row>
    <row r="982" spans="1:20" s="24" customFormat="1" ht="15">
      <c r="A982" s="20"/>
      <c r="B982" s="21"/>
      <c r="C982" s="1040" t="s">
        <v>1880</v>
      </c>
      <c r="D982" s="1172"/>
      <c r="E982" s="1041" t="s">
        <v>1881</v>
      </c>
      <c r="F982" s="327" t="s">
        <v>109</v>
      </c>
      <c r="G982" s="1042">
        <v>2.82</v>
      </c>
      <c r="H982" s="531">
        <v>6</v>
      </c>
      <c r="I982" s="1043">
        <v>11.63</v>
      </c>
      <c r="J982" s="531">
        <v>48.5</v>
      </c>
      <c r="K982" s="531">
        <v>48</v>
      </c>
      <c r="L982" s="532">
        <v>558.24</v>
      </c>
      <c r="M982" s="533">
        <v>2327.9</v>
      </c>
      <c r="N982" s="20"/>
      <c r="O982" s="20"/>
      <c r="P982" s="328"/>
      <c r="T982" s="20"/>
    </row>
    <row r="983" spans="1:20" ht="19.5" customHeight="1">
      <c r="B983" s="25"/>
      <c r="C983" s="422"/>
      <c r="D983" s="422"/>
      <c r="E983" s="63"/>
      <c r="F983" s="63"/>
      <c r="G983" s="63"/>
      <c r="H983" s="63"/>
      <c r="I983" s="63"/>
      <c r="J983" s="63"/>
      <c r="K983" s="63"/>
      <c r="L983" s="63"/>
      <c r="M983" s="63"/>
      <c r="N983" s="63"/>
    </row>
    <row r="984" spans="1:20" ht="32.1" customHeight="1" thickBot="1">
      <c r="B984" s="51"/>
      <c r="C984" s="63" t="s">
        <v>1882</v>
      </c>
      <c r="G984" s="150"/>
      <c r="H984" s="1133" t="s">
        <v>101</v>
      </c>
      <c r="I984" s="1675"/>
      <c r="J984" s="1676"/>
      <c r="K984" s="1133" t="s">
        <v>102</v>
      </c>
      <c r="L984" s="1675"/>
      <c r="M984" s="1676"/>
      <c r="N984" s="26"/>
    </row>
    <row r="985" spans="1:20" ht="15" customHeight="1" thickBot="1">
      <c r="B985" s="513"/>
      <c r="C985" s="29" t="s">
        <v>103</v>
      </c>
      <c r="D985" s="31" t="s">
        <v>104</v>
      </c>
      <c r="E985" s="83" t="s">
        <v>105</v>
      </c>
      <c r="F985" s="31" t="s">
        <v>106</v>
      </c>
      <c r="G985" s="175" t="s">
        <v>107</v>
      </c>
      <c r="H985" s="43" t="s">
        <v>108</v>
      </c>
      <c r="I985" s="44" t="s">
        <v>109</v>
      </c>
      <c r="J985" s="55" t="s">
        <v>110</v>
      </c>
      <c r="K985" s="43" t="s">
        <v>111</v>
      </c>
      <c r="L985" s="44" t="s">
        <v>109</v>
      </c>
      <c r="M985" s="55" t="s">
        <v>110</v>
      </c>
      <c r="N985" s="37"/>
    </row>
    <row r="986" spans="1:20" ht="15" thickBot="1">
      <c r="B986" s="21" t="s">
        <v>112</v>
      </c>
      <c r="C986" s="430" t="s">
        <v>1883</v>
      </c>
      <c r="D986" s="1118" t="s">
        <v>114</v>
      </c>
      <c r="E986" s="431" t="s">
        <v>1884</v>
      </c>
      <c r="F986" s="1521" t="s">
        <v>109</v>
      </c>
      <c r="G986" s="1498">
        <v>1.56</v>
      </c>
      <c r="H986" s="1300">
        <v>9</v>
      </c>
      <c r="I986" s="1159">
        <v>17.440000000000001</v>
      </c>
      <c r="J986" s="1135">
        <v>68.75</v>
      </c>
      <c r="K986" s="1112">
        <v>32</v>
      </c>
      <c r="L986" s="1113">
        <v>558.08000000000004</v>
      </c>
      <c r="M986" s="1136">
        <v>2200.0300000000002</v>
      </c>
      <c r="N986" s="355"/>
    </row>
    <row r="987" spans="1:20">
      <c r="C987" s="432" t="s">
        <v>1885</v>
      </c>
      <c r="D987" s="1119"/>
      <c r="E987" s="433" t="s">
        <v>1886</v>
      </c>
      <c r="F987" s="1522"/>
      <c r="G987" s="1697"/>
      <c r="H987" s="1686"/>
      <c r="I987" s="1686"/>
      <c r="J987" s="1689"/>
      <c r="K987" s="1686"/>
      <c r="L987" s="1687"/>
      <c r="M987" s="1689"/>
      <c r="N987" s="355"/>
    </row>
    <row r="988" spans="1:20">
      <c r="C988" s="432" t="s">
        <v>1887</v>
      </c>
      <c r="D988" s="1119"/>
      <c r="E988" s="433" t="s">
        <v>1888</v>
      </c>
      <c r="F988" s="1522"/>
      <c r="G988" s="1697"/>
      <c r="H988" s="1686"/>
      <c r="I988" s="1686"/>
      <c r="J988" s="1689"/>
      <c r="K988" s="1686"/>
      <c r="L988" s="1687"/>
      <c r="M988" s="1689"/>
      <c r="N988" s="355"/>
    </row>
    <row r="989" spans="1:20">
      <c r="C989" s="432" t="s">
        <v>1889</v>
      </c>
      <c r="D989" s="1119"/>
      <c r="E989" s="433" t="s">
        <v>1890</v>
      </c>
      <c r="F989" s="1522"/>
      <c r="G989" s="1697"/>
      <c r="H989" s="1686"/>
      <c r="I989" s="1686"/>
      <c r="J989" s="1689"/>
      <c r="K989" s="1686"/>
      <c r="L989" s="1687"/>
      <c r="M989" s="1689"/>
      <c r="N989" s="355"/>
    </row>
    <row r="990" spans="1:20">
      <c r="C990" s="432" t="s">
        <v>1891</v>
      </c>
      <c r="D990" s="1119"/>
      <c r="E990" s="433" t="s">
        <v>1892</v>
      </c>
      <c r="F990" s="1522"/>
      <c r="G990" s="1697"/>
      <c r="H990" s="1686"/>
      <c r="I990" s="1686"/>
      <c r="J990" s="1689"/>
      <c r="K990" s="1686"/>
      <c r="L990" s="1687"/>
      <c r="M990" s="1689"/>
      <c r="N990" s="355"/>
    </row>
    <row r="991" spans="1:20">
      <c r="C991" s="432" t="s">
        <v>1893</v>
      </c>
      <c r="D991" s="1119"/>
      <c r="E991" s="433" t="s">
        <v>1894</v>
      </c>
      <c r="F991" s="1522"/>
      <c r="G991" s="1697"/>
      <c r="H991" s="1686"/>
      <c r="I991" s="1686"/>
      <c r="J991" s="1689"/>
      <c r="K991" s="1686"/>
      <c r="L991" s="1687"/>
      <c r="M991" s="1689"/>
      <c r="N991" s="355"/>
    </row>
    <row r="992" spans="1:20">
      <c r="C992" s="432" t="s">
        <v>1895</v>
      </c>
      <c r="D992" s="1119"/>
      <c r="E992" s="433" t="s">
        <v>1896</v>
      </c>
      <c r="F992" s="1522"/>
      <c r="G992" s="1697"/>
      <c r="H992" s="1686"/>
      <c r="I992" s="1686"/>
      <c r="J992" s="1689"/>
      <c r="K992" s="1686"/>
      <c r="L992" s="1687"/>
      <c r="M992" s="1689"/>
      <c r="N992" s="355"/>
    </row>
    <row r="993" spans="2:14">
      <c r="C993" s="432" t="s">
        <v>1897</v>
      </c>
      <c r="D993" s="1119"/>
      <c r="E993" s="433" t="s">
        <v>1898</v>
      </c>
      <c r="F993" s="1522"/>
      <c r="G993" s="1697"/>
      <c r="H993" s="1686"/>
      <c r="I993" s="1686"/>
      <c r="J993" s="1689"/>
      <c r="K993" s="1686"/>
      <c r="L993" s="1687"/>
      <c r="M993" s="1689"/>
      <c r="N993" s="355"/>
    </row>
    <row r="994" spans="2:14">
      <c r="C994" s="432" t="s">
        <v>1899</v>
      </c>
      <c r="D994" s="1119"/>
      <c r="E994" s="433" t="s">
        <v>1900</v>
      </c>
      <c r="F994" s="1522"/>
      <c r="G994" s="1697"/>
      <c r="H994" s="1686"/>
      <c r="I994" s="1686"/>
      <c r="J994" s="1689"/>
      <c r="K994" s="1686"/>
      <c r="L994" s="1687"/>
      <c r="M994" s="1689"/>
      <c r="N994" s="355"/>
    </row>
    <row r="995" spans="2:14">
      <c r="C995" s="432" t="s">
        <v>1901</v>
      </c>
      <c r="D995" s="1119"/>
      <c r="E995" s="433" t="s">
        <v>1902</v>
      </c>
      <c r="F995" s="1522"/>
      <c r="G995" s="1697"/>
      <c r="H995" s="1686"/>
      <c r="I995" s="1686"/>
      <c r="J995" s="1689"/>
      <c r="K995" s="1686"/>
      <c r="L995" s="1687"/>
      <c r="M995" s="1689"/>
      <c r="N995" s="355"/>
    </row>
    <row r="996" spans="2:14">
      <c r="C996" s="432" t="s">
        <v>1903</v>
      </c>
      <c r="D996" s="1119"/>
      <c r="E996" s="433" t="s">
        <v>1904</v>
      </c>
      <c r="F996" s="1522"/>
      <c r="G996" s="1697"/>
      <c r="H996" s="1686"/>
      <c r="I996" s="1686"/>
      <c r="J996" s="1689"/>
      <c r="K996" s="1686"/>
      <c r="L996" s="1687"/>
      <c r="M996" s="1689"/>
      <c r="N996" s="355"/>
    </row>
    <row r="997" spans="2:14">
      <c r="C997" s="432" t="s">
        <v>1905</v>
      </c>
      <c r="D997" s="1119"/>
      <c r="E997" s="433" t="s">
        <v>1906</v>
      </c>
      <c r="F997" s="1522"/>
      <c r="G997" s="1697"/>
      <c r="H997" s="1686"/>
      <c r="I997" s="1686"/>
      <c r="J997" s="1689"/>
      <c r="K997" s="1686"/>
      <c r="L997" s="1687"/>
      <c r="M997" s="1689"/>
      <c r="N997" s="355"/>
    </row>
    <row r="998" spans="2:14">
      <c r="C998" s="432" t="s">
        <v>1907</v>
      </c>
      <c r="D998" s="1119"/>
      <c r="E998" s="433" t="s">
        <v>1908</v>
      </c>
      <c r="F998" s="1522"/>
      <c r="G998" s="1697"/>
      <c r="H998" s="1686"/>
      <c r="I998" s="1686"/>
      <c r="J998" s="1689"/>
      <c r="K998" s="1686"/>
      <c r="L998" s="1687"/>
      <c r="M998" s="1689"/>
      <c r="N998" s="355"/>
    </row>
    <row r="999" spans="2:14" ht="16.350000000000001" customHeight="1">
      <c r="C999" s="432" t="s">
        <v>1909</v>
      </c>
      <c r="D999" s="1119"/>
      <c r="E999" s="433" t="s">
        <v>1910</v>
      </c>
      <c r="F999" s="1522"/>
      <c r="G999" s="1697"/>
      <c r="H999" s="1686"/>
      <c r="I999" s="1686"/>
      <c r="J999" s="1689"/>
      <c r="K999" s="1686"/>
      <c r="L999" s="1687"/>
      <c r="M999" s="1689"/>
      <c r="N999" s="355"/>
    </row>
    <row r="1000" spans="2:14" ht="15" thickBot="1">
      <c r="B1000" s="51"/>
      <c r="C1000" s="915" t="s">
        <v>1911</v>
      </c>
      <c r="D1000" s="1120"/>
      <c r="E1000" s="434" t="s">
        <v>1912</v>
      </c>
      <c r="F1000" s="1523"/>
      <c r="G1000" s="1700"/>
      <c r="H1000" s="1691"/>
      <c r="I1000" s="1690"/>
      <c r="J1000" s="1705"/>
      <c r="K1000" s="1690"/>
      <c r="L1000" s="1692"/>
      <c r="M1000" s="1694"/>
      <c r="N1000" s="355"/>
    </row>
    <row r="1001" spans="2:14" ht="16.350000000000001" customHeight="1" thickBot="1">
      <c r="B1001" s="51"/>
      <c r="C1001" s="468" t="s">
        <v>1913</v>
      </c>
      <c r="D1001" s="255" t="s">
        <v>178</v>
      </c>
      <c r="E1001" s="468" t="s">
        <v>1914</v>
      </c>
      <c r="F1001" s="153" t="s">
        <v>109</v>
      </c>
      <c r="G1001" s="571">
        <v>2.4</v>
      </c>
      <c r="H1001" s="1117">
        <v>50</v>
      </c>
      <c r="I1001" s="325">
        <v>12.64</v>
      </c>
      <c r="J1001" s="326">
        <v>27.67</v>
      </c>
      <c r="K1001" s="1117">
        <v>84</v>
      </c>
      <c r="L1001" s="1285">
        <v>1061.76</v>
      </c>
      <c r="M1001" s="369">
        <v>2324.5100000000002</v>
      </c>
      <c r="N1001" s="355"/>
    </row>
    <row r="1002" spans="2:14" ht="15" customHeight="1" thickBot="1">
      <c r="B1002" s="51"/>
      <c r="C1002" s="926" t="s">
        <v>1915</v>
      </c>
      <c r="D1002" s="238" t="s">
        <v>227</v>
      </c>
      <c r="E1002" s="467" t="s">
        <v>1916</v>
      </c>
      <c r="F1002" s="153" t="s">
        <v>108</v>
      </c>
      <c r="G1002" s="571">
        <v>3.6</v>
      </c>
      <c r="H1002" s="1690"/>
      <c r="I1002" s="325">
        <v>12.64</v>
      </c>
      <c r="J1002" s="326">
        <v>41.12</v>
      </c>
      <c r="K1002" s="1690"/>
      <c r="L1002" s="1692"/>
      <c r="M1002" s="369">
        <v>3454.35</v>
      </c>
      <c r="N1002" s="355"/>
    </row>
    <row r="1003" spans="2:14" ht="14.25" customHeight="1" thickBot="1">
      <c r="B1003" s="51"/>
      <c r="C1003" s="422" t="s">
        <v>247</v>
      </c>
      <c r="D1003" s="194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</row>
    <row r="1004" spans="2:14" ht="32.1" customHeight="1" thickBot="1">
      <c r="C1004" s="63" t="s">
        <v>1917</v>
      </c>
      <c r="E1004" s="22"/>
      <c r="G1004" s="549"/>
      <c r="H1004" s="1133" t="s">
        <v>101</v>
      </c>
      <c r="I1004" s="1675"/>
      <c r="J1004" s="1676"/>
      <c r="K1004" s="1133" t="s">
        <v>102</v>
      </c>
      <c r="L1004" s="1675"/>
      <c r="M1004" s="1676"/>
      <c r="N1004" s="26"/>
    </row>
    <row r="1005" spans="2:14" ht="15" customHeight="1" thickBot="1">
      <c r="C1005" s="28" t="s">
        <v>103</v>
      </c>
      <c r="D1005" s="32" t="s">
        <v>104</v>
      </c>
      <c r="E1005" s="42" t="s">
        <v>105</v>
      </c>
      <c r="F1005" s="31" t="s">
        <v>106</v>
      </c>
      <c r="G1005" s="32" t="s">
        <v>107</v>
      </c>
      <c r="H1005" s="33" t="s">
        <v>108</v>
      </c>
      <c r="I1005" s="34" t="s">
        <v>109</v>
      </c>
      <c r="J1005" s="36" t="s">
        <v>110</v>
      </c>
      <c r="K1005" s="33" t="s">
        <v>111</v>
      </c>
      <c r="L1005" s="34" t="s">
        <v>109</v>
      </c>
      <c r="M1005" s="36" t="s">
        <v>110</v>
      </c>
      <c r="N1005" s="37"/>
    </row>
    <row r="1006" spans="2:14" ht="15" customHeight="1" thickBot="1">
      <c r="B1006" s="21" t="s">
        <v>112</v>
      </c>
      <c r="C1006" s="274" t="s">
        <v>1918</v>
      </c>
      <c r="D1006" s="1028" t="s">
        <v>114</v>
      </c>
      <c r="E1006" s="1050" t="s">
        <v>1919</v>
      </c>
      <c r="F1006" s="1127" t="s">
        <v>109</v>
      </c>
      <c r="G1006" s="555">
        <v>1.86</v>
      </c>
      <c r="H1006" s="1117">
        <v>10</v>
      </c>
      <c r="I1006" s="1128">
        <v>18.940000000000001</v>
      </c>
      <c r="J1006" s="1175">
        <v>75.561199999999999</v>
      </c>
      <c r="K1006" s="1117">
        <v>32</v>
      </c>
      <c r="L1006" s="1114">
        <v>606.22</v>
      </c>
      <c r="M1006" s="1116">
        <v>2417.92</v>
      </c>
      <c r="N1006" s="328"/>
    </row>
    <row r="1007" spans="2:14" ht="15" thickBot="1">
      <c r="C1007" s="273" t="s">
        <v>1920</v>
      </c>
      <c r="D1007" s="1333" t="s">
        <v>114</v>
      </c>
      <c r="E1007" s="1050" t="s">
        <v>1921</v>
      </c>
      <c r="F1007" s="1127"/>
      <c r="G1007" s="1363">
        <v>2.34</v>
      </c>
      <c r="H1007" s="1686"/>
      <c r="I1007" s="1686"/>
      <c r="J1007" s="1680"/>
      <c r="K1007" s="1686"/>
      <c r="L1007" s="1687"/>
      <c r="M1007" s="1689"/>
      <c r="N1007" s="328"/>
    </row>
    <row r="1008" spans="2:14">
      <c r="C1008" s="275" t="s">
        <v>1922</v>
      </c>
      <c r="D1008" s="1119"/>
      <c r="E1008" s="1051" t="s">
        <v>1923</v>
      </c>
      <c r="F1008" s="1127"/>
      <c r="G1008" s="1739"/>
      <c r="H1008" s="1686"/>
      <c r="I1008" s="1686"/>
      <c r="J1008" s="1680"/>
      <c r="K1008" s="1686"/>
      <c r="L1008" s="1687"/>
      <c r="M1008" s="1689"/>
      <c r="N1008" s="328"/>
    </row>
    <row r="1009" spans="2:14" ht="15" thickBot="1">
      <c r="C1009" s="274" t="s">
        <v>1924</v>
      </c>
      <c r="D1009" s="1120"/>
      <c r="E1009" s="107" t="s">
        <v>1925</v>
      </c>
      <c r="F1009" s="1127"/>
      <c r="G1009" s="1738"/>
      <c r="H1009" s="1690"/>
      <c r="I1009" s="1690"/>
      <c r="J1009" s="1681"/>
      <c r="K1009" s="1690"/>
      <c r="L1009" s="1692"/>
      <c r="M1009" s="1694"/>
      <c r="N1009" s="328"/>
    </row>
    <row r="1010" spans="2:14" ht="15" thickBot="1">
      <c r="C1010" s="273" t="s">
        <v>1926</v>
      </c>
      <c r="D1010" s="1118" t="s">
        <v>259</v>
      </c>
      <c r="E1010" s="1052" t="s">
        <v>1927</v>
      </c>
      <c r="F1010" s="1127"/>
      <c r="G1010" s="1363">
        <v>1.86</v>
      </c>
      <c r="H1010" s="1117">
        <v>5</v>
      </c>
      <c r="I1010" s="1128">
        <v>19.05</v>
      </c>
      <c r="J1010" s="1175">
        <v>78.401899999999998</v>
      </c>
      <c r="K1010" s="1117">
        <v>30</v>
      </c>
      <c r="L1010" s="1114">
        <v>571.55999999999995</v>
      </c>
      <c r="M1010" s="1116">
        <v>2352</v>
      </c>
      <c r="N1010" s="328"/>
    </row>
    <row r="1011" spans="2:14" ht="15" thickBot="1">
      <c r="C1011" s="274" t="s">
        <v>1928</v>
      </c>
      <c r="D1011" s="1120"/>
      <c r="E1011" s="107" t="s">
        <v>1929</v>
      </c>
      <c r="F1011" s="1127"/>
      <c r="G1011" s="1738"/>
      <c r="H1011" s="1686"/>
      <c r="I1011" s="1686"/>
      <c r="J1011" s="1680"/>
      <c r="K1011" s="1686"/>
      <c r="L1011" s="1687"/>
      <c r="M1011" s="1689"/>
      <c r="N1011" s="328"/>
    </row>
    <row r="1012" spans="2:14" ht="15" thickBot="1">
      <c r="C1012" s="273" t="s">
        <v>1930</v>
      </c>
      <c r="D1012" s="1118" t="s">
        <v>259</v>
      </c>
      <c r="E1012" s="1051" t="s">
        <v>1931</v>
      </c>
      <c r="F1012" s="1127"/>
      <c r="G1012" s="1363">
        <v>2.34</v>
      </c>
      <c r="H1012" s="1686"/>
      <c r="I1012" s="1686"/>
      <c r="J1012" s="1680"/>
      <c r="K1012" s="1686"/>
      <c r="L1012" s="1687"/>
      <c r="M1012" s="1689"/>
      <c r="N1012" s="328"/>
    </row>
    <row r="1013" spans="2:14" ht="15" thickBot="1">
      <c r="C1013" s="274" t="s">
        <v>1932</v>
      </c>
      <c r="D1013" s="1120"/>
      <c r="E1013" s="1051" t="s">
        <v>1933</v>
      </c>
      <c r="F1013" s="1127"/>
      <c r="G1013" s="1738"/>
      <c r="H1013" s="1690"/>
      <c r="I1013" s="1690"/>
      <c r="J1013" s="1681"/>
      <c r="K1013" s="1690"/>
      <c r="L1013" s="1692"/>
      <c r="M1013" s="1694"/>
      <c r="N1013" s="328"/>
    </row>
    <row r="1014" spans="2:14">
      <c r="C1014" s="272" t="s">
        <v>1934</v>
      </c>
      <c r="D1014" s="1118" t="s">
        <v>119</v>
      </c>
      <c r="E1014" s="219" t="s">
        <v>1935</v>
      </c>
      <c r="F1014" s="1127"/>
      <c r="G1014" s="1428">
        <v>2.7</v>
      </c>
      <c r="H1014" s="1330">
        <v>2</v>
      </c>
      <c r="I1014" s="1305">
        <v>15.28</v>
      </c>
      <c r="J1014" s="1519">
        <v>77.66</v>
      </c>
      <c r="K1014" s="1305">
        <v>30</v>
      </c>
      <c r="L1014" s="1173">
        <v>458.54</v>
      </c>
      <c r="M1014" s="1182">
        <v>2329.86</v>
      </c>
      <c r="N1014" s="328"/>
    </row>
    <row r="1015" spans="2:14" ht="15" thickBot="1">
      <c r="C1015" s="273" t="s">
        <v>1936</v>
      </c>
      <c r="D1015" s="1119"/>
      <c r="E1015" s="229" t="s">
        <v>1937</v>
      </c>
      <c r="F1015" s="1127"/>
      <c r="G1015" s="1739"/>
      <c r="H1015" s="1724"/>
      <c r="I1015" s="1711"/>
      <c r="J1015" s="1729"/>
      <c r="K1015" s="1711"/>
      <c r="L1015" s="1722"/>
      <c r="M1015" s="1713"/>
      <c r="N1015" s="328"/>
    </row>
    <row r="1016" spans="2:14">
      <c r="C1016" s="1054" t="s">
        <v>1938</v>
      </c>
      <c r="D1016" s="1027" t="s">
        <v>119</v>
      </c>
      <c r="E1016" s="219" t="s">
        <v>1939</v>
      </c>
      <c r="F1016" s="1127"/>
      <c r="G1016" s="1053">
        <v>2.7</v>
      </c>
      <c r="H1016" s="1049">
        <v>3</v>
      </c>
      <c r="I1016" s="1049">
        <v>22.96</v>
      </c>
      <c r="J1016" s="1049">
        <v>84.14</v>
      </c>
      <c r="K1016" s="1049">
        <v>27</v>
      </c>
      <c r="L1016" s="1049">
        <v>619.92999999999995</v>
      </c>
      <c r="M1016" s="1049">
        <v>2271.81</v>
      </c>
      <c r="N1016" s="328"/>
    </row>
    <row r="1017" spans="2:14" ht="15" thickBot="1">
      <c r="C1017" s="422"/>
      <c r="D1017" s="243"/>
      <c r="E1017" s="243"/>
      <c r="F1017" s="323"/>
      <c r="G1017" s="243"/>
      <c r="H1017" s="328"/>
      <c r="I1017" s="328"/>
      <c r="J1017" s="243"/>
      <c r="K1017" s="328"/>
      <c r="L1017" s="328"/>
      <c r="M1017" s="20"/>
      <c r="N1017" s="20"/>
    </row>
    <row r="1018" spans="2:14" ht="31.5" customHeight="1" thickBot="1">
      <c r="C1018" s="63" t="s">
        <v>1940</v>
      </c>
      <c r="G1018" s="549"/>
      <c r="H1018" s="1133" t="s">
        <v>101</v>
      </c>
      <c r="I1018" s="1675"/>
      <c r="J1018" s="1676"/>
      <c r="K1018" s="1133" t="s">
        <v>102</v>
      </c>
      <c r="L1018" s="1675"/>
      <c r="M1018" s="1676"/>
      <c r="N1018" s="26"/>
    </row>
    <row r="1019" spans="2:14" ht="15" customHeight="1" thickBot="1">
      <c r="C1019" s="28" t="s">
        <v>103</v>
      </c>
      <c r="D1019" s="32" t="s">
        <v>104</v>
      </c>
      <c r="E1019" s="30" t="s">
        <v>105</v>
      </c>
      <c r="F1019" s="32" t="s">
        <v>106</v>
      </c>
      <c r="G1019" s="32" t="s">
        <v>107</v>
      </c>
      <c r="H1019" s="33" t="s">
        <v>108</v>
      </c>
      <c r="I1019" s="34" t="s">
        <v>109</v>
      </c>
      <c r="J1019" s="36" t="s">
        <v>110</v>
      </c>
      <c r="K1019" s="33" t="s">
        <v>111</v>
      </c>
      <c r="L1019" s="34" t="s">
        <v>109</v>
      </c>
      <c r="M1019" s="36" t="s">
        <v>110</v>
      </c>
      <c r="N1019" s="37"/>
    </row>
    <row r="1020" spans="2:14" ht="15" thickBot="1">
      <c r="B1020" s="21" t="s">
        <v>213</v>
      </c>
      <c r="C1020" s="250" t="s">
        <v>1941</v>
      </c>
      <c r="D1020" s="1118" t="s">
        <v>531</v>
      </c>
      <c r="E1020" s="240" t="s">
        <v>1942</v>
      </c>
      <c r="F1020" s="1333" t="s">
        <v>109</v>
      </c>
      <c r="G1020" s="1170">
        <v>2.4</v>
      </c>
      <c r="H1020" s="1117">
        <v>16</v>
      </c>
      <c r="I1020" s="1347">
        <v>12</v>
      </c>
      <c r="J1020" s="1130">
        <v>29.64</v>
      </c>
      <c r="K1020" s="1117">
        <v>96</v>
      </c>
      <c r="L1020" s="1176">
        <f>I1020*K1020</f>
        <v>1152</v>
      </c>
      <c r="M1020" s="1276">
        <f>J1020*K1020</f>
        <v>2845.44</v>
      </c>
      <c r="N1020" s="243"/>
    </row>
    <row r="1021" spans="2:14">
      <c r="C1021" s="251" t="s">
        <v>1943</v>
      </c>
      <c r="D1021" s="1119"/>
      <c r="E1021" s="241" t="s">
        <v>1944</v>
      </c>
      <c r="F1021" s="1334"/>
      <c r="G1021" s="1697"/>
      <c r="H1021" s="1686"/>
      <c r="I1021" s="1697"/>
      <c r="J1021" s="1697"/>
      <c r="K1021" s="1686"/>
      <c r="L1021" s="1687"/>
      <c r="M1021" s="1689"/>
      <c r="N1021" s="243"/>
    </row>
    <row r="1022" spans="2:14">
      <c r="C1022" s="251" t="s">
        <v>1945</v>
      </c>
      <c r="D1022" s="1119"/>
      <c r="E1022" s="241" t="s">
        <v>1946</v>
      </c>
      <c r="F1022" s="1334"/>
      <c r="G1022" s="1697"/>
      <c r="H1022" s="1686"/>
      <c r="I1022" s="1697"/>
      <c r="J1022" s="1697"/>
      <c r="K1022" s="1686"/>
      <c r="L1022" s="1687"/>
      <c r="M1022" s="1689"/>
      <c r="N1022" s="243"/>
    </row>
    <row r="1023" spans="2:14" ht="15" thickBot="1">
      <c r="C1023" s="252" t="s">
        <v>1947</v>
      </c>
      <c r="D1023" s="1120"/>
      <c r="E1023" s="1" t="s">
        <v>1948</v>
      </c>
      <c r="F1023" s="1335"/>
      <c r="G1023" s="1700"/>
      <c r="H1023" s="1690"/>
      <c r="I1023" s="1700"/>
      <c r="J1023" s="1700"/>
      <c r="K1023" s="1690"/>
      <c r="L1023" s="1692"/>
      <c r="M1023" s="1694"/>
      <c r="N1023" s="243"/>
    </row>
    <row r="1024" spans="2:14" ht="15" thickBot="1">
      <c r="C1024" s="250" t="s">
        <v>1949</v>
      </c>
      <c r="D1024" s="1118" t="s">
        <v>534</v>
      </c>
      <c r="E1024" s="240" t="s">
        <v>1950</v>
      </c>
      <c r="F1024" s="1118" t="s">
        <v>108</v>
      </c>
      <c r="G1024" s="1170">
        <v>4.32</v>
      </c>
      <c r="H1024" s="1117">
        <v>16</v>
      </c>
      <c r="I1024" s="1347">
        <v>12</v>
      </c>
      <c r="J1024" s="1130">
        <v>32.590000000000003</v>
      </c>
      <c r="K1024" s="1117">
        <v>90</v>
      </c>
      <c r="L1024" s="1176">
        <v>1080</v>
      </c>
      <c r="M1024" s="1276">
        <v>2933.28</v>
      </c>
      <c r="N1024" s="243"/>
    </row>
    <row r="1025" spans="2:14">
      <c r="C1025" s="251" t="s">
        <v>1951</v>
      </c>
      <c r="D1025" s="1119"/>
      <c r="E1025" s="241" t="s">
        <v>1952</v>
      </c>
      <c r="F1025" s="1119"/>
      <c r="G1025" s="1697"/>
      <c r="H1025" s="1686"/>
      <c r="I1025" s="1697"/>
      <c r="J1025" s="1697"/>
      <c r="K1025" s="1686"/>
      <c r="L1025" s="1687"/>
      <c r="M1025" s="1689"/>
      <c r="N1025" s="243"/>
    </row>
    <row r="1026" spans="2:14">
      <c r="C1026" s="251" t="s">
        <v>1953</v>
      </c>
      <c r="D1026" s="1119"/>
      <c r="E1026" s="241" t="s">
        <v>1954</v>
      </c>
      <c r="F1026" s="1119"/>
      <c r="G1026" s="1697"/>
      <c r="H1026" s="1686"/>
      <c r="I1026" s="1697"/>
      <c r="J1026" s="1697"/>
      <c r="K1026" s="1686"/>
      <c r="L1026" s="1687"/>
      <c r="M1026" s="1689"/>
      <c r="N1026" s="243"/>
    </row>
    <row r="1027" spans="2:14" ht="14.25" customHeight="1" thickBot="1">
      <c r="C1027" s="252" t="s">
        <v>1955</v>
      </c>
      <c r="D1027" s="1120"/>
      <c r="E1027" s="1" t="s">
        <v>1956</v>
      </c>
      <c r="F1027" s="1120"/>
      <c r="G1027" s="1700"/>
      <c r="H1027" s="1690"/>
      <c r="I1027" s="1700"/>
      <c r="J1027" s="1700"/>
      <c r="K1027" s="1690"/>
      <c r="L1027" s="1692"/>
      <c r="M1027" s="1694"/>
      <c r="N1027" s="243"/>
    </row>
    <row r="1028" spans="2:14" ht="14.25" customHeight="1" thickBot="1">
      <c r="C1028" s="422"/>
      <c r="D1028" s="243"/>
      <c r="E1028" s="242"/>
      <c r="F1028" s="243"/>
      <c r="G1028" s="323"/>
      <c r="H1028" s="243"/>
      <c r="I1028" s="328"/>
      <c r="J1028" s="243"/>
      <c r="K1028" s="243"/>
      <c r="L1028" s="243"/>
      <c r="M1028" s="243"/>
      <c r="N1028" s="243"/>
    </row>
    <row r="1029" spans="2:14" ht="32.1" customHeight="1" thickBot="1">
      <c r="C1029" s="19" t="s">
        <v>1957</v>
      </c>
      <c r="G1029" s="549"/>
      <c r="H1029" s="1133" t="s">
        <v>101</v>
      </c>
      <c r="I1029" s="1675"/>
      <c r="J1029" s="1676"/>
      <c r="K1029" s="1133" t="s">
        <v>102</v>
      </c>
      <c r="L1029" s="1675"/>
      <c r="M1029" s="1676"/>
      <c r="N1029" s="26"/>
    </row>
    <row r="1030" spans="2:14" ht="15" customHeight="1" thickBot="1">
      <c r="C1030" s="29" t="s">
        <v>103</v>
      </c>
      <c r="D1030" s="31" t="s">
        <v>104</v>
      </c>
      <c r="E1030" s="88" t="s">
        <v>105</v>
      </c>
      <c r="F1030" s="32" t="s">
        <v>106</v>
      </c>
      <c r="G1030" s="32" t="s">
        <v>107</v>
      </c>
      <c r="H1030" s="33" t="s">
        <v>108</v>
      </c>
      <c r="I1030" s="34" t="s">
        <v>109</v>
      </c>
      <c r="J1030" s="36" t="s">
        <v>110</v>
      </c>
      <c r="K1030" s="33" t="s">
        <v>111</v>
      </c>
      <c r="L1030" s="34" t="s">
        <v>109</v>
      </c>
      <c r="M1030" s="36" t="s">
        <v>110</v>
      </c>
      <c r="N1030" s="37"/>
    </row>
    <row r="1031" spans="2:14" ht="14.25" customHeight="1" thickBot="1">
      <c r="B1031" s="21" t="s">
        <v>213</v>
      </c>
      <c r="C1031" s="244" t="s">
        <v>1958</v>
      </c>
      <c r="D1031" s="1118" t="s">
        <v>907</v>
      </c>
      <c r="E1031" s="240" t="s">
        <v>1959</v>
      </c>
      <c r="F1031" s="1118" t="s">
        <v>109</v>
      </c>
      <c r="G1031" s="1170">
        <v>2.16</v>
      </c>
      <c r="H1031" s="1241">
        <v>80</v>
      </c>
      <c r="I1031" s="1128">
        <v>10</v>
      </c>
      <c r="J1031" s="1150">
        <v>24</v>
      </c>
      <c r="K1031" s="1117">
        <v>72</v>
      </c>
      <c r="L1031" s="1285">
        <v>720</v>
      </c>
      <c r="M1031" s="1116">
        <v>1728</v>
      </c>
      <c r="N1031" s="328"/>
    </row>
    <row r="1032" spans="2:14" ht="14.25" customHeight="1">
      <c r="C1032" s="247" t="s">
        <v>1960</v>
      </c>
      <c r="D1032" s="1119"/>
      <c r="E1032" s="241" t="s">
        <v>1961</v>
      </c>
      <c r="F1032" s="1119"/>
      <c r="G1032" s="1697"/>
      <c r="H1032" s="1686"/>
      <c r="I1032" s="1686"/>
      <c r="J1032" s="1689"/>
      <c r="K1032" s="1686"/>
      <c r="L1032" s="1687"/>
      <c r="M1032" s="1689"/>
      <c r="N1032" s="328"/>
    </row>
    <row r="1033" spans="2:14" ht="14.25" customHeight="1">
      <c r="C1033" s="247" t="s">
        <v>1962</v>
      </c>
      <c r="D1033" s="1119"/>
      <c r="E1033" s="241" t="s">
        <v>1963</v>
      </c>
      <c r="F1033" s="1119"/>
      <c r="G1033" s="1697"/>
      <c r="H1033" s="1686"/>
      <c r="I1033" s="1686"/>
      <c r="J1033" s="1689"/>
      <c r="K1033" s="1686"/>
      <c r="L1033" s="1687"/>
      <c r="M1033" s="1689"/>
      <c r="N1033" s="328"/>
    </row>
    <row r="1034" spans="2:14" ht="14.25" customHeight="1">
      <c r="C1034" s="247" t="s">
        <v>1964</v>
      </c>
      <c r="D1034" s="1119"/>
      <c r="E1034" s="241" t="s">
        <v>1965</v>
      </c>
      <c r="F1034" s="1119"/>
      <c r="G1034" s="1697"/>
      <c r="H1034" s="1686"/>
      <c r="I1034" s="1686"/>
      <c r="J1034" s="1689"/>
      <c r="K1034" s="1686"/>
      <c r="L1034" s="1687"/>
      <c r="M1034" s="1689"/>
      <c r="N1034" s="328"/>
    </row>
    <row r="1035" spans="2:14" ht="14.25" customHeight="1">
      <c r="C1035" s="247" t="s">
        <v>1966</v>
      </c>
      <c r="D1035" s="1119"/>
      <c r="E1035" s="241" t="s">
        <v>1967</v>
      </c>
      <c r="F1035" s="1119"/>
      <c r="G1035" s="1697"/>
      <c r="H1035" s="1686"/>
      <c r="I1035" s="1686"/>
      <c r="J1035" s="1689"/>
      <c r="K1035" s="1686"/>
      <c r="L1035" s="1687"/>
      <c r="M1035" s="1689"/>
      <c r="N1035" s="328"/>
    </row>
    <row r="1036" spans="2:14" ht="14.25" customHeight="1" thickBot="1">
      <c r="C1036" s="247" t="s">
        <v>1968</v>
      </c>
      <c r="D1036" s="1120"/>
      <c r="E1036" s="241" t="s">
        <v>1969</v>
      </c>
      <c r="F1036" s="1119"/>
      <c r="G1036" s="1700"/>
      <c r="H1036" s="1686"/>
      <c r="I1036" s="1690"/>
      <c r="J1036" s="1689"/>
      <c r="K1036" s="1690"/>
      <c r="L1036" s="1692"/>
      <c r="M1036" s="1694"/>
      <c r="N1036" s="328"/>
    </row>
    <row r="1037" spans="2:14" ht="14.25" customHeight="1" thickBot="1">
      <c r="C1037" s="244" t="s">
        <v>1970</v>
      </c>
      <c r="D1037" s="1118" t="s">
        <v>1757</v>
      </c>
      <c r="E1037" s="240" t="s">
        <v>1971</v>
      </c>
      <c r="F1037" s="1119"/>
      <c r="G1037" s="1215">
        <v>2.34</v>
      </c>
      <c r="H1037" s="1117">
        <v>38</v>
      </c>
      <c r="I1037" s="1128">
        <v>11.25</v>
      </c>
      <c r="J1037" s="1276">
        <v>27.06</v>
      </c>
      <c r="K1037" s="1117">
        <v>78</v>
      </c>
      <c r="L1037" s="1176">
        <v>877.38</v>
      </c>
      <c r="M1037" s="1276">
        <v>2110.37</v>
      </c>
      <c r="N1037" s="243"/>
    </row>
    <row r="1038" spans="2:14" ht="14.25" customHeight="1">
      <c r="C1038" s="247" t="s">
        <v>1972</v>
      </c>
      <c r="D1038" s="1119"/>
      <c r="E1038" s="241" t="s">
        <v>1973</v>
      </c>
      <c r="F1038" s="1119"/>
      <c r="G1038" s="1697"/>
      <c r="H1038" s="1686"/>
      <c r="I1038" s="1686"/>
      <c r="J1038" s="1689"/>
      <c r="K1038" s="1686"/>
      <c r="L1038" s="1687"/>
      <c r="M1038" s="1689"/>
      <c r="N1038" s="243"/>
    </row>
    <row r="1039" spans="2:14" ht="14.25" customHeight="1">
      <c r="C1039" s="247" t="s">
        <v>1974</v>
      </c>
      <c r="D1039" s="1119"/>
      <c r="E1039" s="241" t="s">
        <v>1975</v>
      </c>
      <c r="F1039" s="1119"/>
      <c r="G1039" s="1697"/>
      <c r="H1039" s="1686"/>
      <c r="I1039" s="1686"/>
      <c r="J1039" s="1689"/>
      <c r="K1039" s="1686"/>
      <c r="L1039" s="1687"/>
      <c r="M1039" s="1689"/>
      <c r="N1039" s="243"/>
    </row>
    <row r="1040" spans="2:14" ht="14.25" customHeight="1">
      <c r="C1040" s="247" t="s">
        <v>1976</v>
      </c>
      <c r="D1040" s="1119"/>
      <c r="E1040" s="241" t="s">
        <v>1977</v>
      </c>
      <c r="F1040" s="1119"/>
      <c r="G1040" s="1719"/>
      <c r="H1040" s="1686"/>
      <c r="I1040" s="1686"/>
      <c r="J1040" s="1689"/>
      <c r="K1040" s="1686"/>
      <c r="L1040" s="1687"/>
      <c r="M1040" s="1689"/>
      <c r="N1040" s="243"/>
    </row>
    <row r="1041" spans="2:14" ht="14.25" customHeight="1" thickBot="1">
      <c r="C1041" s="247" t="s">
        <v>1978</v>
      </c>
      <c r="D1041" s="1119"/>
      <c r="E1041" s="241" t="s">
        <v>1979</v>
      </c>
      <c r="F1041" s="1119"/>
      <c r="G1041" s="1174">
        <v>3.78</v>
      </c>
      <c r="H1041" s="1686"/>
      <c r="I1041" s="1686"/>
      <c r="J1041" s="1689"/>
      <c r="K1041" s="1686"/>
      <c r="L1041" s="1687"/>
      <c r="M1041" s="1689"/>
      <c r="N1041" s="243"/>
    </row>
    <row r="1042" spans="2:14" ht="14.25" customHeight="1" thickBot="1">
      <c r="C1042" s="249" t="s">
        <v>1980</v>
      </c>
      <c r="D1042" s="1120"/>
      <c r="E1042" s="1" t="s">
        <v>1981</v>
      </c>
      <c r="F1042" s="1119"/>
      <c r="G1042" s="1700"/>
      <c r="H1042" s="1690"/>
      <c r="I1042" s="1690"/>
      <c r="J1042" s="1694"/>
      <c r="K1042" s="1690"/>
      <c r="L1042" s="1692"/>
      <c r="M1042" s="1694"/>
      <c r="N1042" s="243"/>
    </row>
    <row r="1043" spans="2:14" ht="14.25" customHeight="1" thickBot="1">
      <c r="C1043" s="241" t="s">
        <v>1982</v>
      </c>
      <c r="D1043" s="1247" t="s">
        <v>1757</v>
      </c>
      <c r="E1043" s="241" t="s">
        <v>1983</v>
      </c>
      <c r="F1043" s="1119"/>
      <c r="G1043" s="553">
        <v>2.16</v>
      </c>
      <c r="H1043" s="1242">
        <v>38</v>
      </c>
      <c r="I1043" s="1128">
        <v>11.25</v>
      </c>
      <c r="J1043" s="1378">
        <v>27.06</v>
      </c>
      <c r="K1043" s="1117">
        <v>78</v>
      </c>
      <c r="L1043" s="1176">
        <v>877.38</v>
      </c>
      <c r="M1043" s="1276">
        <v>2110.37</v>
      </c>
      <c r="N1043" s="243"/>
    </row>
    <row r="1044" spans="2:14" ht="15.95" customHeight="1" thickBot="1">
      <c r="C1044" s="1" t="s">
        <v>1984</v>
      </c>
      <c r="D1044" s="1248"/>
      <c r="E1044" s="1" t="s">
        <v>1985</v>
      </c>
      <c r="F1044" s="1120"/>
      <c r="G1044" s="541">
        <v>3.18</v>
      </c>
      <c r="H1044" s="1690"/>
      <c r="I1044" s="1690"/>
      <c r="J1044" s="1694"/>
      <c r="K1044" s="1690"/>
      <c r="L1044" s="1692"/>
      <c r="M1044" s="1694"/>
      <c r="N1044" s="243"/>
    </row>
    <row r="1045" spans="2:14" ht="14.25" customHeight="1" thickBot="1">
      <c r="C1045" s="422" t="s">
        <v>247</v>
      </c>
      <c r="E1045" s="242"/>
      <c r="F1045" s="243"/>
      <c r="G1045" s="323"/>
      <c r="H1045" s="243"/>
      <c r="I1045" s="328"/>
      <c r="J1045" s="243"/>
      <c r="K1045" s="243"/>
      <c r="L1045" s="243"/>
      <c r="M1045" s="243"/>
      <c r="N1045" s="243"/>
    </row>
    <row r="1046" spans="2:14" ht="32.1" customHeight="1" thickBot="1">
      <c r="C1046" s="63" t="s">
        <v>1986</v>
      </c>
      <c r="G1046" s="549"/>
      <c r="H1046" s="1133" t="s">
        <v>101</v>
      </c>
      <c r="I1046" s="1675"/>
      <c r="J1046" s="1676"/>
      <c r="K1046" s="1133" t="s">
        <v>102</v>
      </c>
      <c r="L1046" s="1675"/>
      <c r="M1046" s="1676"/>
      <c r="N1046" s="26"/>
    </row>
    <row r="1047" spans="2:14" ht="15" customHeight="1" thickBot="1">
      <c r="C1047" s="28" t="s">
        <v>103</v>
      </c>
      <c r="D1047" s="31" t="s">
        <v>104</v>
      </c>
      <c r="E1047" s="88" t="s">
        <v>105</v>
      </c>
      <c r="F1047" s="32" t="s">
        <v>106</v>
      </c>
      <c r="G1047" s="32" t="s">
        <v>107</v>
      </c>
      <c r="H1047" s="43" t="s">
        <v>108</v>
      </c>
      <c r="I1047" s="236" t="s">
        <v>101</v>
      </c>
      <c r="J1047" s="55" t="s">
        <v>110</v>
      </c>
      <c r="K1047" s="43" t="s">
        <v>111</v>
      </c>
      <c r="L1047" s="44" t="s">
        <v>109</v>
      </c>
      <c r="M1047" s="55" t="s">
        <v>110</v>
      </c>
      <c r="N1047" s="37"/>
    </row>
    <row r="1048" spans="2:14" ht="14.25" customHeight="1" thickBot="1">
      <c r="B1048" s="21" t="s">
        <v>213</v>
      </c>
      <c r="C1048" s="250" t="s">
        <v>1987</v>
      </c>
      <c r="D1048" s="1118" t="s">
        <v>178</v>
      </c>
      <c r="E1048" s="240" t="s">
        <v>1988</v>
      </c>
      <c r="F1048" s="1119" t="s">
        <v>109</v>
      </c>
      <c r="G1048" s="1215">
        <v>3.42</v>
      </c>
      <c r="H1048" s="1117">
        <v>50</v>
      </c>
      <c r="I1048" s="1128">
        <v>12.65</v>
      </c>
      <c r="J1048" s="1116">
        <v>27.7</v>
      </c>
      <c r="K1048" s="1117">
        <v>84</v>
      </c>
      <c r="L1048" s="1176">
        <v>1066.92</v>
      </c>
      <c r="M1048" s="1116">
        <v>2326.8000000000002</v>
      </c>
      <c r="N1048" s="1412"/>
    </row>
    <row r="1049" spans="2:14" ht="14.25" customHeight="1">
      <c r="C1049" s="251" t="s">
        <v>1989</v>
      </c>
      <c r="D1049" s="1119"/>
      <c r="E1049" s="241" t="s">
        <v>1990</v>
      </c>
      <c r="F1049" s="1119"/>
      <c r="G1049" s="1697"/>
      <c r="H1049" s="1686"/>
      <c r="I1049" s="1686"/>
      <c r="J1049" s="1689"/>
      <c r="K1049" s="1686"/>
      <c r="L1049" s="1687"/>
      <c r="M1049" s="1689"/>
      <c r="N1049" s="1680"/>
    </row>
    <row r="1050" spans="2:14" ht="14.25" customHeight="1">
      <c r="C1050" s="251" t="s">
        <v>1991</v>
      </c>
      <c r="D1050" s="1119"/>
      <c r="E1050" s="241" t="s">
        <v>1992</v>
      </c>
      <c r="F1050" s="1119"/>
      <c r="G1050" s="1697"/>
      <c r="H1050" s="1686"/>
      <c r="I1050" s="1686"/>
      <c r="J1050" s="1689"/>
      <c r="K1050" s="1686"/>
      <c r="L1050" s="1687"/>
      <c r="M1050" s="1689"/>
      <c r="N1050" s="1680"/>
    </row>
    <row r="1051" spans="2:14" ht="14.25" customHeight="1">
      <c r="C1051" s="251" t="s">
        <v>1993</v>
      </c>
      <c r="D1051" s="1119"/>
      <c r="E1051" s="241" t="s">
        <v>1994</v>
      </c>
      <c r="F1051" s="1119"/>
      <c r="G1051" s="1719"/>
      <c r="H1051" s="1686"/>
      <c r="I1051" s="1686"/>
      <c r="J1051" s="1689"/>
      <c r="K1051" s="1686"/>
      <c r="L1051" s="1687"/>
      <c r="M1051" s="1689"/>
      <c r="N1051" s="328"/>
    </row>
    <row r="1052" spans="2:14" ht="15" thickBot="1">
      <c r="C1052" s="251" t="s">
        <v>1995</v>
      </c>
      <c r="D1052" s="1119"/>
      <c r="E1052" s="241" t="s">
        <v>1996</v>
      </c>
      <c r="F1052" s="1119"/>
      <c r="G1052" s="1174">
        <v>4.62</v>
      </c>
      <c r="H1052" s="1686"/>
      <c r="I1052" s="1686"/>
      <c r="J1052" s="1689"/>
      <c r="K1052" s="1686"/>
      <c r="L1052" s="1687"/>
      <c r="M1052" s="1689"/>
      <c r="N1052" s="328"/>
    </row>
    <row r="1053" spans="2:14" ht="15" thickBot="1">
      <c r="C1053" s="252" t="s">
        <v>1997</v>
      </c>
      <c r="D1053" s="1120"/>
      <c r="E1053" s="1" t="s">
        <v>1998</v>
      </c>
      <c r="F1053" s="1120"/>
      <c r="G1053" s="1700"/>
      <c r="H1053" s="1690"/>
      <c r="I1053" s="1690"/>
      <c r="J1053" s="1694"/>
      <c r="K1053" s="1690"/>
      <c r="L1053" s="1692"/>
      <c r="M1053" s="1694"/>
      <c r="N1053" s="328"/>
    </row>
    <row r="1054" spans="2:14" ht="14.25" customHeight="1" thickBot="1">
      <c r="B1054" s="21" t="s">
        <v>326</v>
      </c>
      <c r="C1054" s="244" t="s">
        <v>1999</v>
      </c>
      <c r="D1054" s="1118" t="s">
        <v>227</v>
      </c>
      <c r="E1054" s="240" t="s">
        <v>2000</v>
      </c>
      <c r="F1054" s="1118" t="s">
        <v>108</v>
      </c>
      <c r="G1054" s="1215">
        <v>3.42</v>
      </c>
      <c r="H1054" s="1117">
        <v>50</v>
      </c>
      <c r="I1054" s="1128">
        <v>12.64</v>
      </c>
      <c r="J1054" s="1116">
        <v>41.12</v>
      </c>
      <c r="K1054" s="1117">
        <v>84</v>
      </c>
      <c r="L1054" s="1176">
        <v>1061.76</v>
      </c>
      <c r="M1054" s="1116">
        <v>3454.35</v>
      </c>
      <c r="N1054" s="328"/>
    </row>
    <row r="1055" spans="2:14" ht="14.25" customHeight="1">
      <c r="C1055" s="247" t="s">
        <v>2001</v>
      </c>
      <c r="D1055" s="1119"/>
      <c r="E1055" s="241" t="s">
        <v>2002</v>
      </c>
      <c r="F1055" s="1119"/>
      <c r="G1055" s="1697"/>
      <c r="H1055" s="1686"/>
      <c r="I1055" s="1686"/>
      <c r="J1055" s="1689"/>
      <c r="K1055" s="1686"/>
      <c r="L1055" s="1687"/>
      <c r="M1055" s="1689"/>
      <c r="N1055" s="328"/>
    </row>
    <row r="1056" spans="2:14" ht="14.25" customHeight="1">
      <c r="C1056" s="247" t="s">
        <v>2003</v>
      </c>
      <c r="D1056" s="1119"/>
      <c r="E1056" s="241" t="s">
        <v>2004</v>
      </c>
      <c r="F1056" s="1119"/>
      <c r="G1056" s="1697"/>
      <c r="H1056" s="1686"/>
      <c r="I1056" s="1686"/>
      <c r="J1056" s="1689"/>
      <c r="K1056" s="1686"/>
      <c r="L1056" s="1687"/>
      <c r="M1056" s="1689"/>
      <c r="N1056" s="328"/>
    </row>
    <row r="1057" spans="2:14" ht="14.25" customHeight="1">
      <c r="C1057" s="247" t="s">
        <v>2005</v>
      </c>
      <c r="D1057" s="1119"/>
      <c r="E1057" s="241" t="s">
        <v>2006</v>
      </c>
      <c r="F1057" s="1119"/>
      <c r="G1057" s="1719"/>
      <c r="H1057" s="1686"/>
      <c r="I1057" s="1686"/>
      <c r="J1057" s="1689"/>
      <c r="K1057" s="1686"/>
      <c r="L1057" s="1687"/>
      <c r="M1057" s="1689"/>
      <c r="N1057" s="328"/>
    </row>
    <row r="1058" spans="2:14" ht="15" thickBot="1">
      <c r="C1058" s="247" t="s">
        <v>2007</v>
      </c>
      <c r="D1058" s="1119"/>
      <c r="E1058" s="241" t="s">
        <v>2008</v>
      </c>
      <c r="F1058" s="1119"/>
      <c r="G1058" s="1174">
        <v>4.62</v>
      </c>
      <c r="H1058" s="1686"/>
      <c r="I1058" s="1686"/>
      <c r="J1058" s="1689"/>
      <c r="K1058" s="1686"/>
      <c r="L1058" s="1687"/>
      <c r="M1058" s="1689"/>
      <c r="N1058" s="328"/>
    </row>
    <row r="1059" spans="2:14" ht="15" thickBot="1">
      <c r="C1059" s="249" t="s">
        <v>2009</v>
      </c>
      <c r="D1059" s="1120"/>
      <c r="E1059" s="1" t="s">
        <v>2010</v>
      </c>
      <c r="F1059" s="1120"/>
      <c r="G1059" s="1700"/>
      <c r="H1059" s="1690"/>
      <c r="I1059" s="1690"/>
      <c r="J1059" s="1694"/>
      <c r="K1059" s="1690"/>
      <c r="L1059" s="1692"/>
      <c r="M1059" s="1694"/>
      <c r="N1059" s="328"/>
    </row>
    <row r="1060" spans="2:14" ht="14.25" customHeight="1" thickBot="1">
      <c r="C1060" s="422" t="s">
        <v>247</v>
      </c>
      <c r="D1060" s="80"/>
      <c r="E1060" s="242"/>
      <c r="F1060" s="243"/>
      <c r="G1060" s="323"/>
      <c r="H1060" s="243"/>
      <c r="I1060" s="328"/>
      <c r="J1060" s="328"/>
      <c r="K1060" s="243"/>
      <c r="L1060" s="243"/>
      <c r="M1060" s="328"/>
      <c r="N1060" s="328"/>
    </row>
    <row r="1061" spans="2:14" ht="32.1" customHeight="1" thickBot="1">
      <c r="C1061" s="63" t="s">
        <v>2011</v>
      </c>
      <c r="D1061" s="80"/>
      <c r="E1061" s="242"/>
      <c r="F1061" s="243"/>
      <c r="G1061" s="323"/>
      <c r="H1061" s="1133" t="s">
        <v>101</v>
      </c>
      <c r="I1061" s="1675"/>
      <c r="J1061" s="1676"/>
      <c r="K1061" s="1133" t="s">
        <v>102</v>
      </c>
      <c r="L1061" s="1675"/>
      <c r="M1061" s="1676"/>
      <c r="N1061" s="26"/>
    </row>
    <row r="1062" spans="2:14" ht="19.5" customHeight="1" thickBot="1">
      <c r="C1062" s="28" t="s">
        <v>103</v>
      </c>
      <c r="D1062" s="31" t="s">
        <v>104</v>
      </c>
      <c r="E1062" s="88" t="s">
        <v>105</v>
      </c>
      <c r="F1062" s="31" t="s">
        <v>106</v>
      </c>
      <c r="G1062" s="31" t="s">
        <v>107</v>
      </c>
      <c r="H1062" s="43" t="s">
        <v>108</v>
      </c>
      <c r="I1062" s="44" t="s">
        <v>109</v>
      </c>
      <c r="J1062" s="55" t="s">
        <v>110</v>
      </c>
      <c r="K1062" s="43" t="s">
        <v>111</v>
      </c>
      <c r="L1062" s="44" t="s">
        <v>109</v>
      </c>
      <c r="M1062" s="55" t="s">
        <v>110</v>
      </c>
      <c r="N1062" s="37"/>
    </row>
    <row r="1063" spans="2:14" ht="14.25" customHeight="1" thickBot="1">
      <c r="B1063" s="21" t="s">
        <v>213</v>
      </c>
      <c r="C1063" s="250" t="s">
        <v>2012</v>
      </c>
      <c r="D1063" s="1446" t="s">
        <v>2013</v>
      </c>
      <c r="E1063" s="240" t="s">
        <v>2014</v>
      </c>
      <c r="F1063" s="1446" t="s">
        <v>109</v>
      </c>
      <c r="G1063" s="540">
        <v>4.92</v>
      </c>
      <c r="H1063" s="1517">
        <v>37</v>
      </c>
      <c r="I1063" s="1539">
        <v>10.76</v>
      </c>
      <c r="J1063" s="1489">
        <v>31.41</v>
      </c>
      <c r="K1063" s="1517">
        <v>60</v>
      </c>
      <c r="L1063" s="1529">
        <v>645.6</v>
      </c>
      <c r="M1063" s="1489">
        <v>1884.78</v>
      </c>
      <c r="N1063" s="80"/>
    </row>
    <row r="1064" spans="2:14" ht="16.350000000000001" customHeight="1" thickBot="1">
      <c r="C1064" s="261" t="s">
        <v>2015</v>
      </c>
      <c r="D1064" s="1479"/>
      <c r="E1064" s="1" t="s">
        <v>2016</v>
      </c>
      <c r="F1064" s="1479"/>
      <c r="G1064" s="580">
        <v>6.12</v>
      </c>
      <c r="H1064" s="1690"/>
      <c r="I1064" s="1690"/>
      <c r="J1064" s="1694"/>
      <c r="K1064" s="1690"/>
      <c r="L1064" s="1692"/>
      <c r="M1064" s="1694"/>
      <c r="N1064" s="80"/>
    </row>
    <row r="1065" spans="2:14" ht="14.25" customHeight="1" thickBot="1">
      <c r="B1065" s="21" t="s">
        <v>326</v>
      </c>
      <c r="C1065" s="288" t="s">
        <v>2017</v>
      </c>
      <c r="D1065" s="1118" t="s">
        <v>2018</v>
      </c>
      <c r="E1065" s="240" t="s">
        <v>2019</v>
      </c>
      <c r="F1065" s="1118" t="s">
        <v>108</v>
      </c>
      <c r="G1065" s="1165">
        <v>3.12</v>
      </c>
      <c r="H1065" s="1241">
        <v>168</v>
      </c>
      <c r="I1065" s="1128">
        <v>9.0418000000000003</v>
      </c>
      <c r="J1065" s="1432">
        <v>21.17</v>
      </c>
      <c r="K1065" s="1241">
        <v>75</v>
      </c>
      <c r="L1065" s="1171">
        <v>678.14</v>
      </c>
      <c r="M1065" s="1432">
        <v>1587.6</v>
      </c>
      <c r="N1065" s="243"/>
    </row>
    <row r="1066" spans="2:14" ht="14.25" customHeight="1">
      <c r="C1066" s="251" t="s">
        <v>2020</v>
      </c>
      <c r="D1066" s="1119"/>
      <c r="E1066" s="241" t="s">
        <v>2021</v>
      </c>
      <c r="F1066" s="1119"/>
      <c r="G1066" s="1697"/>
      <c r="H1066" s="1686"/>
      <c r="I1066" s="1686"/>
      <c r="J1066" s="1689"/>
      <c r="K1066" s="1686"/>
      <c r="L1066" s="1687"/>
      <c r="M1066" s="1689"/>
      <c r="N1066" s="243"/>
    </row>
    <row r="1067" spans="2:14" ht="14.25" customHeight="1">
      <c r="C1067" s="251" t="s">
        <v>2022</v>
      </c>
      <c r="D1067" s="1119"/>
      <c r="E1067" s="241" t="s">
        <v>2023</v>
      </c>
      <c r="F1067" s="1119"/>
      <c r="G1067" s="1697"/>
      <c r="H1067" s="1686"/>
      <c r="I1067" s="1686"/>
      <c r="J1067" s="1689"/>
      <c r="K1067" s="1686"/>
      <c r="L1067" s="1687"/>
      <c r="M1067" s="1689"/>
      <c r="N1067" s="243"/>
    </row>
    <row r="1068" spans="2:14" ht="14.25" customHeight="1" thickBot="1">
      <c r="C1068" s="251" t="s">
        <v>2024</v>
      </c>
      <c r="D1068" s="1120"/>
      <c r="E1068" s="241" t="s">
        <v>2025</v>
      </c>
      <c r="F1068" s="1119"/>
      <c r="G1068" s="1700"/>
      <c r="H1068" s="1686"/>
      <c r="I1068" s="1690"/>
      <c r="J1068" s="1689"/>
      <c r="K1068" s="1686"/>
      <c r="L1068" s="1687"/>
      <c r="M1068" s="1689"/>
      <c r="N1068" s="243"/>
    </row>
    <row r="1069" spans="2:14" ht="14.25" customHeight="1" thickBot="1">
      <c r="C1069" s="250" t="s">
        <v>2026</v>
      </c>
      <c r="D1069" s="1118" t="s">
        <v>2027</v>
      </c>
      <c r="E1069" s="240" t="s">
        <v>2028</v>
      </c>
      <c r="F1069" s="1119"/>
      <c r="G1069" s="1215">
        <v>2.3199999999999998</v>
      </c>
      <c r="H1069" s="1160">
        <v>80</v>
      </c>
      <c r="I1069" s="1244">
        <v>10</v>
      </c>
      <c r="J1069" s="1309">
        <v>25.36</v>
      </c>
      <c r="K1069" s="1160">
        <v>72</v>
      </c>
      <c r="L1069" s="1252">
        <v>720</v>
      </c>
      <c r="M1069" s="1309">
        <v>1825.92</v>
      </c>
      <c r="N1069" s="157"/>
    </row>
    <row r="1070" spans="2:14" ht="14.25" customHeight="1">
      <c r="C1070" s="251" t="s">
        <v>2029</v>
      </c>
      <c r="D1070" s="1119"/>
      <c r="E1070" s="241" t="s">
        <v>2030</v>
      </c>
      <c r="F1070" s="1119"/>
      <c r="G1070" s="1697"/>
      <c r="H1070" s="1686"/>
      <c r="I1070" s="1686"/>
      <c r="J1070" s="1689"/>
      <c r="K1070" s="1686"/>
      <c r="L1070" s="1687"/>
      <c r="M1070" s="1689"/>
      <c r="N1070" s="157"/>
    </row>
    <row r="1071" spans="2:14" ht="14.25" customHeight="1">
      <c r="C1071" s="251" t="s">
        <v>2031</v>
      </c>
      <c r="D1071" s="1119"/>
      <c r="E1071" s="241" t="s">
        <v>2032</v>
      </c>
      <c r="F1071" s="1119"/>
      <c r="G1071" s="1697"/>
      <c r="H1071" s="1686"/>
      <c r="I1071" s="1686"/>
      <c r="J1071" s="1689"/>
      <c r="K1071" s="1686"/>
      <c r="L1071" s="1687"/>
      <c r="M1071" s="1689"/>
      <c r="N1071" s="157"/>
    </row>
    <row r="1072" spans="2:14" ht="14.25" customHeight="1">
      <c r="C1072" s="288" t="s">
        <v>2033</v>
      </c>
      <c r="D1072" s="1119"/>
      <c r="E1072" s="241" t="s">
        <v>2034</v>
      </c>
      <c r="F1072" s="1119"/>
      <c r="G1072" s="1719"/>
      <c r="H1072" s="1686"/>
      <c r="I1072" s="1686"/>
      <c r="J1072" s="1689"/>
      <c r="K1072" s="1686"/>
      <c r="L1072" s="1687"/>
      <c r="M1072" s="1689"/>
      <c r="N1072" s="157"/>
    </row>
    <row r="1073" spans="2:14" ht="14.25" customHeight="1" thickBot="1">
      <c r="C1073" s="251" t="s">
        <v>2035</v>
      </c>
      <c r="D1073" s="1119"/>
      <c r="E1073" s="246" t="s">
        <v>2036</v>
      </c>
      <c r="F1073" s="1119"/>
      <c r="G1073" s="1174">
        <v>3</v>
      </c>
      <c r="H1073" s="1686"/>
      <c r="I1073" s="1686"/>
      <c r="J1073" s="1689"/>
      <c r="K1073" s="1686"/>
      <c r="L1073" s="1687"/>
      <c r="M1073" s="1689"/>
      <c r="N1073" s="157"/>
    </row>
    <row r="1074" spans="2:14" ht="14.25" customHeight="1" thickBot="1">
      <c r="C1074" s="252" t="s">
        <v>2037</v>
      </c>
      <c r="D1074" s="1120"/>
      <c r="E1074" s="1" t="s">
        <v>2038</v>
      </c>
      <c r="F1074" s="1119"/>
      <c r="G1074" s="1700"/>
      <c r="H1074" s="1690"/>
      <c r="I1074" s="1690"/>
      <c r="J1074" s="1694"/>
      <c r="K1074" s="1690"/>
      <c r="L1074" s="1692"/>
      <c r="M1074" s="1694"/>
      <c r="N1074" s="157"/>
    </row>
    <row r="1075" spans="2:14" ht="14.25" customHeight="1" thickBot="1">
      <c r="C1075" s="250" t="s">
        <v>2039</v>
      </c>
      <c r="D1075" s="1118" t="s">
        <v>2040</v>
      </c>
      <c r="E1075" s="240" t="s">
        <v>2041</v>
      </c>
      <c r="F1075" s="1119"/>
      <c r="G1075" s="1215">
        <v>2.76</v>
      </c>
      <c r="H1075" s="1117">
        <v>72</v>
      </c>
      <c r="I1075" s="1128">
        <v>14.761200000000001</v>
      </c>
      <c r="J1075" s="1276">
        <v>34.130000000000003</v>
      </c>
      <c r="K1075" s="1117">
        <v>75</v>
      </c>
      <c r="L1075" s="1176">
        <v>1107.0899999999999</v>
      </c>
      <c r="M1075" s="1276">
        <v>2559.6</v>
      </c>
      <c r="N1075" s="243"/>
    </row>
    <row r="1076" spans="2:14" ht="14.25" customHeight="1">
      <c r="C1076" s="251" t="s">
        <v>2042</v>
      </c>
      <c r="D1076" s="1119"/>
      <c r="E1076" s="241" t="s">
        <v>2043</v>
      </c>
      <c r="F1076" s="1119"/>
      <c r="G1076" s="1697"/>
      <c r="H1076" s="1686"/>
      <c r="I1076" s="1686"/>
      <c r="J1076" s="1689"/>
      <c r="K1076" s="1686"/>
      <c r="L1076" s="1687"/>
      <c r="M1076" s="1689"/>
      <c r="N1076" s="243"/>
    </row>
    <row r="1077" spans="2:14" ht="14.25" customHeight="1">
      <c r="C1077" s="251" t="s">
        <v>2044</v>
      </c>
      <c r="D1077" s="1119"/>
      <c r="E1077" s="241" t="s">
        <v>2045</v>
      </c>
      <c r="F1077" s="1119"/>
      <c r="G1077" s="1697"/>
      <c r="H1077" s="1686"/>
      <c r="I1077" s="1686"/>
      <c r="J1077" s="1689"/>
      <c r="K1077" s="1686"/>
      <c r="L1077" s="1687"/>
      <c r="M1077" s="1689"/>
      <c r="N1077" s="243"/>
    </row>
    <row r="1078" spans="2:14">
      <c r="C1078" s="251" t="s">
        <v>2046</v>
      </c>
      <c r="D1078" s="1119"/>
      <c r="E1078" s="241" t="s">
        <v>2047</v>
      </c>
      <c r="F1078" s="1119"/>
      <c r="G1078" s="1719"/>
      <c r="H1078" s="1686"/>
      <c r="I1078" s="1686"/>
      <c r="J1078" s="1689"/>
      <c r="K1078" s="1686"/>
      <c r="L1078" s="1687"/>
      <c r="M1078" s="1689"/>
      <c r="N1078" s="243"/>
    </row>
    <row r="1079" spans="2:14" ht="14.25" customHeight="1" thickBot="1">
      <c r="C1079" s="251" t="s">
        <v>2048</v>
      </c>
      <c r="D1079" s="1119"/>
      <c r="E1079" s="241" t="s">
        <v>2049</v>
      </c>
      <c r="F1079" s="1119"/>
      <c r="G1079" s="1174">
        <v>3.36</v>
      </c>
      <c r="H1079" s="1686"/>
      <c r="I1079" s="1686"/>
      <c r="J1079" s="1689"/>
      <c r="K1079" s="1686"/>
      <c r="L1079" s="1687"/>
      <c r="M1079" s="1689"/>
      <c r="N1079" s="243"/>
    </row>
    <row r="1080" spans="2:14" ht="14.25" customHeight="1" thickBot="1">
      <c r="C1080" s="252" t="s">
        <v>2050</v>
      </c>
      <c r="D1080" s="1120"/>
      <c r="E1080" s="1" t="s">
        <v>2051</v>
      </c>
      <c r="F1080" s="1119"/>
      <c r="G1080" s="1700"/>
      <c r="H1080" s="1690"/>
      <c r="I1080" s="1690"/>
      <c r="J1080" s="1694"/>
      <c r="K1080" s="1690"/>
      <c r="L1080" s="1692"/>
      <c r="M1080" s="1694"/>
      <c r="N1080" s="243"/>
    </row>
    <row r="1081" spans="2:14" ht="14.25" customHeight="1" thickBot="1">
      <c r="C1081" s="241" t="s">
        <v>2052</v>
      </c>
      <c r="D1081" s="1118" t="s">
        <v>2040</v>
      </c>
      <c r="E1081" s="241" t="s">
        <v>2053</v>
      </c>
      <c r="F1081" s="1119"/>
      <c r="G1081" s="1170">
        <v>2.63</v>
      </c>
      <c r="H1081" s="1117">
        <v>72</v>
      </c>
      <c r="I1081" s="1128">
        <v>14.761200000000001</v>
      </c>
      <c r="J1081" s="1276">
        <v>34.130000000000003</v>
      </c>
      <c r="K1081" s="1117">
        <v>75</v>
      </c>
      <c r="L1081" s="1176">
        <v>1107.0899999999999</v>
      </c>
      <c r="M1081" s="1276">
        <v>2559.6</v>
      </c>
      <c r="N1081" s="243"/>
    </row>
    <row r="1082" spans="2:14" ht="14.25" customHeight="1" thickBot="1">
      <c r="C1082" s="241" t="s">
        <v>2054</v>
      </c>
      <c r="D1082" s="1119"/>
      <c r="E1082" s="241" t="s">
        <v>2055</v>
      </c>
      <c r="F1082" s="1119"/>
      <c r="G1082" s="1700"/>
      <c r="H1082" s="1686"/>
      <c r="I1082" s="1686"/>
      <c r="J1082" s="1689"/>
      <c r="K1082" s="1686"/>
      <c r="L1082" s="1687"/>
      <c r="M1082" s="1689"/>
      <c r="N1082" s="243"/>
    </row>
    <row r="1083" spans="2:14" ht="14.25" customHeight="1" thickBot="1">
      <c r="C1083" s="1" t="s">
        <v>2056</v>
      </c>
      <c r="D1083" s="1120"/>
      <c r="E1083" s="1" t="s">
        <v>2057</v>
      </c>
      <c r="F1083" s="1120"/>
      <c r="G1083" s="226">
        <v>3.16</v>
      </c>
      <c r="H1083" s="1690"/>
      <c r="I1083" s="1690"/>
      <c r="J1083" s="1694"/>
      <c r="K1083" s="1690"/>
      <c r="L1083" s="1692"/>
      <c r="M1083" s="1694"/>
      <c r="N1083" s="243"/>
    </row>
    <row r="1084" spans="2:14" ht="15" customHeight="1" thickBot="1">
      <c r="C1084" s="422" t="s">
        <v>247</v>
      </c>
      <c r="D1084" s="80"/>
      <c r="E1084" s="242"/>
      <c r="F1084" s="80"/>
      <c r="G1084" s="80"/>
      <c r="H1084" s="80"/>
      <c r="I1084" s="154"/>
      <c r="J1084" s="80"/>
      <c r="K1084" s="80"/>
      <c r="L1084" s="80"/>
      <c r="M1084" s="80"/>
      <c r="N1084" s="80"/>
    </row>
    <row r="1085" spans="2:14" ht="32.1" customHeight="1" thickBot="1">
      <c r="C1085" s="63" t="s">
        <v>2058</v>
      </c>
      <c r="G1085" s="549"/>
      <c r="H1085" s="1133" t="s">
        <v>101</v>
      </c>
      <c r="I1085" s="1675"/>
      <c r="J1085" s="1676"/>
      <c r="K1085" s="1211" t="s">
        <v>102</v>
      </c>
      <c r="L1085" s="1675"/>
      <c r="M1085" s="1676"/>
      <c r="N1085" s="26"/>
    </row>
    <row r="1086" spans="2:14" ht="15" customHeight="1">
      <c r="B1086" s="51"/>
      <c r="C1086" s="29" t="s">
        <v>103</v>
      </c>
      <c r="D1086" s="31" t="s">
        <v>104</v>
      </c>
      <c r="E1086" s="42" t="s">
        <v>105</v>
      </c>
      <c r="F1086" s="31" t="s">
        <v>106</v>
      </c>
      <c r="G1086" s="31" t="s">
        <v>107</v>
      </c>
      <c r="H1086" s="43" t="s">
        <v>108</v>
      </c>
      <c r="I1086" s="44" t="s">
        <v>109</v>
      </c>
      <c r="J1086" s="55" t="s">
        <v>110</v>
      </c>
      <c r="K1086" s="43" t="s">
        <v>111</v>
      </c>
      <c r="L1086" s="44" t="s">
        <v>109</v>
      </c>
      <c r="M1086" s="55" t="s">
        <v>110</v>
      </c>
      <c r="N1086" s="37"/>
    </row>
    <row r="1087" spans="2:14" ht="16.350000000000001" customHeight="1">
      <c r="B1087" s="21" t="s">
        <v>112</v>
      </c>
      <c r="C1087" s="1079" t="s">
        <v>2059</v>
      </c>
      <c r="D1087" s="1057" t="s">
        <v>152</v>
      </c>
      <c r="E1087" s="1037" t="s">
        <v>2060</v>
      </c>
      <c r="F1087" s="1057" t="s">
        <v>109</v>
      </c>
      <c r="G1087" s="1046">
        <v>2.2200000000000002</v>
      </c>
      <c r="H1087" s="1027">
        <v>30</v>
      </c>
      <c r="I1087" s="356">
        <v>12.7</v>
      </c>
      <c r="J1087" s="356">
        <v>45</v>
      </c>
      <c r="K1087" s="1027">
        <v>72</v>
      </c>
      <c r="L1087" s="1027">
        <v>914.5</v>
      </c>
      <c r="M1087" s="356">
        <v>3240</v>
      </c>
      <c r="N1087" s="328"/>
    </row>
    <row r="1088" spans="2:14" ht="15" customHeight="1" thickBot="1">
      <c r="C1088" s="256"/>
      <c r="D1088" s="243"/>
      <c r="E1088" s="242"/>
      <c r="F1088" s="243"/>
      <c r="G1088" s="243"/>
      <c r="H1088" s="243"/>
      <c r="I1088" s="328"/>
      <c r="J1088" s="328"/>
      <c r="K1088" s="243"/>
      <c r="L1088" s="328"/>
      <c r="M1088" s="328"/>
      <c r="N1088" s="328"/>
    </row>
    <row r="1089" spans="2:14" ht="29.45" customHeight="1" thickBot="1">
      <c r="B1089" s="51"/>
      <c r="C1089" s="161" t="s">
        <v>2061</v>
      </c>
      <c r="E1089" s="22"/>
      <c r="G1089" s="581"/>
      <c r="H1089" s="1361" t="s">
        <v>101</v>
      </c>
      <c r="I1089" s="1675"/>
      <c r="J1089" s="1736"/>
      <c r="K1089" s="1133" t="s">
        <v>102</v>
      </c>
      <c r="L1089" s="1675"/>
      <c r="M1089" s="1676"/>
      <c r="N1089" s="26"/>
    </row>
    <row r="1090" spans="2:14" ht="15" customHeight="1" thickBot="1">
      <c r="C1090" s="29" t="s">
        <v>103</v>
      </c>
      <c r="D1090" s="175" t="s">
        <v>104</v>
      </c>
      <c r="E1090" s="1063" t="s">
        <v>105</v>
      </c>
      <c r="F1090" s="176" t="s">
        <v>106</v>
      </c>
      <c r="G1090" s="175" t="s">
        <v>107</v>
      </c>
      <c r="H1090" s="1002" t="s">
        <v>108</v>
      </c>
      <c r="I1090" s="408" t="s">
        <v>109</v>
      </c>
      <c r="J1090" s="37" t="s">
        <v>110</v>
      </c>
      <c r="K1090" s="31" t="s">
        <v>111</v>
      </c>
      <c r="L1090" s="408" t="s">
        <v>109</v>
      </c>
      <c r="M1090" s="409" t="s">
        <v>110</v>
      </c>
      <c r="N1090" s="37"/>
    </row>
    <row r="1091" spans="2:14" ht="15.95" customHeight="1" thickBot="1">
      <c r="C1091" s="493" t="s">
        <v>2062</v>
      </c>
      <c r="D1091" s="1118" t="s">
        <v>114</v>
      </c>
      <c r="E1091" s="1058" t="s">
        <v>2063</v>
      </c>
      <c r="F1091" s="1127" t="s">
        <v>109</v>
      </c>
      <c r="G1091" s="1045">
        <v>3.3</v>
      </c>
      <c r="H1091" s="497">
        <v>6</v>
      </c>
      <c r="I1091" s="498">
        <v>11.63</v>
      </c>
      <c r="J1091" s="499">
        <v>48.5</v>
      </c>
      <c r="K1091" s="497">
        <v>48</v>
      </c>
      <c r="L1091" s="349">
        <f>K1091*I1091</f>
        <v>558.24</v>
      </c>
      <c r="M1091" s="499">
        <v>2327.9</v>
      </c>
      <c r="N1091" s="159"/>
    </row>
    <row r="1092" spans="2:14" ht="16.350000000000001" customHeight="1" thickBot="1">
      <c r="B1092" s="21" t="s">
        <v>213</v>
      </c>
      <c r="C1092" s="510" t="s">
        <v>2064</v>
      </c>
      <c r="D1092" s="1119"/>
      <c r="E1092" s="1059" t="s">
        <v>2065</v>
      </c>
      <c r="F1092" s="1127"/>
      <c r="G1092" s="555">
        <v>3.9</v>
      </c>
      <c r="H1092" s="497">
        <v>7</v>
      </c>
      <c r="I1092" s="498">
        <v>13.5626</v>
      </c>
      <c r="J1092" s="499">
        <v>46.3</v>
      </c>
      <c r="K1092" s="497">
        <v>60</v>
      </c>
      <c r="L1092" s="349">
        <v>813.6</v>
      </c>
      <c r="M1092" s="499">
        <f>K1092*J1092</f>
        <v>2778</v>
      </c>
      <c r="N1092" s="159"/>
    </row>
    <row r="1093" spans="2:14" ht="16.350000000000001" customHeight="1" thickBot="1">
      <c r="C1093" s="1061" t="s">
        <v>2066</v>
      </c>
      <c r="D1093" s="1027" t="s">
        <v>119</v>
      </c>
      <c r="E1093" s="1062" t="s">
        <v>2067</v>
      </c>
      <c r="F1093" s="1127"/>
      <c r="G1093" s="1060">
        <v>3.9</v>
      </c>
      <c r="H1093" s="1057">
        <v>2</v>
      </c>
      <c r="I1093" s="495">
        <v>15.5</v>
      </c>
      <c r="J1093" s="495">
        <v>67.41</v>
      </c>
      <c r="K1093" s="1057">
        <v>35</v>
      </c>
      <c r="L1093" s="356">
        <f>K1093*I1093</f>
        <v>542.5</v>
      </c>
      <c r="M1093" s="495">
        <v>2359.5300000000002</v>
      </c>
      <c r="N1093" s="159"/>
    </row>
    <row r="1094" spans="2:14" ht="16.350000000000001" customHeight="1">
      <c r="C1094" s="1055"/>
      <c r="D1094" s="243"/>
      <c r="E1094" s="1056"/>
      <c r="F1094" s="243"/>
      <c r="G1094" s="323"/>
      <c r="H1094" s="157"/>
      <c r="I1094" s="159"/>
      <c r="J1094" s="159"/>
      <c r="K1094" s="157"/>
      <c r="L1094" s="328"/>
      <c r="M1094" s="159"/>
      <c r="N1094" s="159"/>
    </row>
    <row r="1095" spans="2:14" s="24" customFormat="1" ht="15" customHeight="1" thickBot="1">
      <c r="B1095" s="21"/>
      <c r="C1095" s="422"/>
      <c r="D1095" s="243"/>
      <c r="E1095" s="242"/>
      <c r="F1095" s="243"/>
      <c r="I1095" s="328"/>
      <c r="J1095" s="328"/>
      <c r="K1095" s="243"/>
      <c r="L1095" s="328"/>
      <c r="M1095" s="328"/>
      <c r="N1095" s="328"/>
    </row>
    <row r="1096" spans="2:14" s="24" customFormat="1" ht="32.1" customHeight="1" thickBot="1">
      <c r="B1096" s="21"/>
      <c r="C1096" s="19" t="s">
        <v>2068</v>
      </c>
      <c r="D1096" s="22"/>
      <c r="E1096" s="20"/>
      <c r="F1096" s="22"/>
      <c r="G1096" s="549"/>
      <c r="H1096" s="1133" t="s">
        <v>101</v>
      </c>
      <c r="I1096" s="1675"/>
      <c r="J1096" s="1676"/>
      <c r="K1096" s="1133" t="s">
        <v>102</v>
      </c>
      <c r="L1096" s="1675"/>
      <c r="M1096" s="1676"/>
      <c r="N1096" s="26"/>
    </row>
    <row r="1097" spans="2:14" ht="15" customHeight="1" thickBot="1">
      <c r="B1097" s="514"/>
      <c r="C1097" s="29" t="s">
        <v>103</v>
      </c>
      <c r="D1097" s="32" t="s">
        <v>104</v>
      </c>
      <c r="E1097" s="42" t="s">
        <v>105</v>
      </c>
      <c r="F1097" s="32" t="s">
        <v>106</v>
      </c>
      <c r="G1097" s="32" t="s">
        <v>107</v>
      </c>
      <c r="H1097" s="33" t="s">
        <v>108</v>
      </c>
      <c r="I1097" s="34" t="s">
        <v>109</v>
      </c>
      <c r="J1097" s="36" t="s">
        <v>110</v>
      </c>
      <c r="K1097" s="33" t="s">
        <v>111</v>
      </c>
      <c r="L1097" s="34" t="s">
        <v>109</v>
      </c>
      <c r="M1097" s="36" t="s">
        <v>110</v>
      </c>
      <c r="N1097" s="37"/>
    </row>
    <row r="1098" spans="2:14" ht="16.350000000000001" customHeight="1" thickBot="1">
      <c r="B1098" s="624" t="s">
        <v>112</v>
      </c>
      <c r="C1098" s="257" t="s">
        <v>2069</v>
      </c>
      <c r="D1098" s="270" t="s">
        <v>119</v>
      </c>
      <c r="E1098" s="267" t="s">
        <v>2070</v>
      </c>
      <c r="F1098" s="598" t="s">
        <v>109</v>
      </c>
      <c r="G1098" s="579">
        <v>4.2</v>
      </c>
      <c r="H1098" s="448">
        <v>3</v>
      </c>
      <c r="I1098" s="449" t="s">
        <v>2071</v>
      </c>
      <c r="J1098" s="625" t="s">
        <v>2072</v>
      </c>
      <c r="K1098" s="448">
        <v>30</v>
      </c>
      <c r="L1098" s="450">
        <v>697.5</v>
      </c>
      <c r="M1098" s="451">
        <v>2368.5</v>
      </c>
      <c r="N1098" s="37"/>
    </row>
    <row r="1099" spans="2:14" ht="15" customHeight="1" thickBot="1">
      <c r="C1099" s="177"/>
      <c r="D1099" s="243"/>
      <c r="E1099" s="242"/>
      <c r="F1099" s="243"/>
      <c r="G1099" s="24"/>
      <c r="H1099" s="24"/>
      <c r="I1099" s="328"/>
      <c r="J1099" s="328"/>
      <c r="K1099" s="243"/>
      <c r="L1099" s="328"/>
      <c r="M1099" s="328"/>
      <c r="N1099" s="328"/>
    </row>
    <row r="1100" spans="2:14" ht="29.45" customHeight="1" thickBot="1">
      <c r="B1100" s="51"/>
      <c r="C1100" s="161" t="s">
        <v>2073</v>
      </c>
      <c r="E1100" s="22"/>
      <c r="G1100" s="581"/>
      <c r="H1100" s="1133" t="s">
        <v>101</v>
      </c>
      <c r="I1100" s="1675"/>
      <c r="J1100" s="1676"/>
      <c r="K1100" s="1133" t="s">
        <v>102</v>
      </c>
      <c r="L1100" s="1675"/>
      <c r="M1100" s="1676"/>
      <c r="N1100" s="26"/>
    </row>
    <row r="1101" spans="2:14" ht="15" customHeight="1" thickBot="1">
      <c r="C1101" s="29" t="s">
        <v>103</v>
      </c>
      <c r="D1101" s="175" t="s">
        <v>104</v>
      </c>
      <c r="E1101" s="1063" t="s">
        <v>105</v>
      </c>
      <c r="F1101" s="1083" t="s">
        <v>106</v>
      </c>
      <c r="G1101" s="445" t="s">
        <v>107</v>
      </c>
      <c r="H1101" s="43" t="s">
        <v>108</v>
      </c>
      <c r="I1101" s="44" t="s">
        <v>109</v>
      </c>
      <c r="J1101" s="45" t="s">
        <v>110</v>
      </c>
      <c r="K1101" s="43" t="s">
        <v>111</v>
      </c>
      <c r="L1101" s="44" t="s">
        <v>109</v>
      </c>
      <c r="M1101" s="55" t="s">
        <v>110</v>
      </c>
      <c r="N1101" s="37"/>
    </row>
    <row r="1102" spans="2:14" ht="15.6" customHeight="1">
      <c r="B1102" s="21" t="s">
        <v>213</v>
      </c>
      <c r="C1102" s="309" t="s">
        <v>2074</v>
      </c>
      <c r="D1102" s="1231" t="s">
        <v>1703</v>
      </c>
      <c r="E1102" s="456" t="s">
        <v>2075</v>
      </c>
      <c r="F1102" s="1127" t="s">
        <v>109</v>
      </c>
      <c r="G1102" s="1081">
        <v>3.9</v>
      </c>
      <c r="H1102" s="490">
        <v>7</v>
      </c>
      <c r="I1102" s="454">
        <v>13.5626</v>
      </c>
      <c r="J1102" s="455">
        <v>46.3</v>
      </c>
      <c r="K1102" s="490">
        <v>60</v>
      </c>
      <c r="L1102" s="340">
        <f>K1102*I1102</f>
        <v>813.75599999999997</v>
      </c>
      <c r="M1102" s="455">
        <f>K1102*J1102</f>
        <v>2778</v>
      </c>
      <c r="N1102" s="159"/>
    </row>
    <row r="1103" spans="2:14" ht="15" customHeight="1" thickBot="1">
      <c r="B1103" s="21" t="s">
        <v>2076</v>
      </c>
      <c r="C1103" s="311" t="s">
        <v>2077</v>
      </c>
      <c r="D1103" s="1233"/>
      <c r="E1103" s="458" t="s">
        <v>2078</v>
      </c>
      <c r="F1103" s="1127"/>
      <c r="G1103" s="1082">
        <v>3.3</v>
      </c>
      <c r="H1103" s="494">
        <v>6</v>
      </c>
      <c r="I1103" s="495">
        <v>11.63</v>
      </c>
      <c r="J1103" s="496">
        <v>48.49</v>
      </c>
      <c r="K1103" s="494">
        <v>48</v>
      </c>
      <c r="L1103" s="356">
        <f>K1103*I1103</f>
        <v>558.24</v>
      </c>
      <c r="M1103" s="496">
        <v>2327.9</v>
      </c>
      <c r="N1103" s="328"/>
    </row>
    <row r="1104" spans="2:14" ht="15" customHeight="1" thickBot="1">
      <c r="B1104" s="21" t="s">
        <v>795</v>
      </c>
      <c r="C1104" s="312" t="s">
        <v>2079</v>
      </c>
      <c r="D1104" s="313" t="s">
        <v>119</v>
      </c>
      <c r="E1104" s="1080" t="s">
        <v>2080</v>
      </c>
      <c r="F1104" s="1027" t="s">
        <v>109</v>
      </c>
      <c r="G1104" s="975">
        <v>3.9</v>
      </c>
      <c r="H1104" s="490">
        <v>2</v>
      </c>
      <c r="I1104" s="454">
        <v>15.5</v>
      </c>
      <c r="J1104" s="455">
        <v>67.41</v>
      </c>
      <c r="K1104" s="155">
        <v>35</v>
      </c>
      <c r="L1104" s="331">
        <f>K1104*I1104</f>
        <v>542.5</v>
      </c>
      <c r="M1104" s="158">
        <v>2359.5300000000002</v>
      </c>
      <c r="N1104" s="328"/>
    </row>
    <row r="1105" spans="2:14" ht="15" customHeight="1" thickBot="1">
      <c r="C1105" s="981"/>
      <c r="D1105" s="318"/>
      <c r="E1105" s="166"/>
      <c r="F1105" s="243"/>
      <c r="G1105" s="323"/>
      <c r="H1105" s="1001"/>
      <c r="I1105" s="1031"/>
      <c r="J1105" s="1030"/>
      <c r="K1105" s="1001"/>
      <c r="L1105" s="1029"/>
      <c r="M1105" s="1030"/>
      <c r="N1105" s="328"/>
    </row>
    <row r="1106" spans="2:14" ht="29.45" customHeight="1" thickBot="1">
      <c r="B1106" s="51"/>
      <c r="C1106" s="161" t="s">
        <v>2081</v>
      </c>
      <c r="E1106" s="22"/>
      <c r="G1106" s="549"/>
      <c r="H1106" s="1131" t="s">
        <v>101</v>
      </c>
      <c r="I1106" s="1716"/>
      <c r="J1106" s="1717"/>
      <c r="K1106" s="1131" t="s">
        <v>102</v>
      </c>
      <c r="L1106" s="1716"/>
      <c r="M1106" s="1717"/>
      <c r="N1106" s="26"/>
    </row>
    <row r="1107" spans="2:14" ht="15" customHeight="1" thickBot="1">
      <c r="B1107" s="21" t="s">
        <v>112</v>
      </c>
      <c r="C1107" s="29" t="s">
        <v>103</v>
      </c>
      <c r="D1107" s="175" t="s">
        <v>104</v>
      </c>
      <c r="E1107" s="42" t="s">
        <v>105</v>
      </c>
      <c r="F1107" s="445" t="s">
        <v>106</v>
      </c>
      <c r="G1107" s="175" t="s">
        <v>107</v>
      </c>
      <c r="H1107" s="43" t="s">
        <v>108</v>
      </c>
      <c r="I1107" s="44" t="s">
        <v>109</v>
      </c>
      <c r="J1107" s="45" t="s">
        <v>110</v>
      </c>
      <c r="K1107" s="43" t="s">
        <v>111</v>
      </c>
      <c r="L1107" s="44" t="s">
        <v>109</v>
      </c>
      <c r="M1107" s="55" t="s">
        <v>110</v>
      </c>
      <c r="N1107" s="37"/>
    </row>
    <row r="1108" spans="2:14" ht="16.350000000000001" customHeight="1" thickBot="1">
      <c r="B1108" s="51"/>
      <c r="C1108" s="468" t="s">
        <v>2082</v>
      </c>
      <c r="D1108" s="313" t="s">
        <v>125</v>
      </c>
      <c r="E1108" s="468" t="s">
        <v>2083</v>
      </c>
      <c r="F1108" s="368" t="s">
        <v>109</v>
      </c>
      <c r="G1108" s="545">
        <v>2.2200000000000002</v>
      </c>
      <c r="H1108" s="324">
        <v>6</v>
      </c>
      <c r="I1108" s="325">
        <v>14.85</v>
      </c>
      <c r="J1108" s="326">
        <v>74.23</v>
      </c>
      <c r="K1108" s="324">
        <v>36</v>
      </c>
      <c r="L1108" s="325">
        <f>K1108*I1108</f>
        <v>534.6</v>
      </c>
      <c r="M1108" s="326">
        <f>K1108*J1108</f>
        <v>2672.28</v>
      </c>
      <c r="N1108" s="159"/>
    </row>
    <row r="1109" spans="2:14" ht="16.350000000000001" customHeight="1" thickBot="1">
      <c r="B1109" s="51"/>
      <c r="C1109" s="468" t="s">
        <v>2084</v>
      </c>
      <c r="D1109" s="313" t="s">
        <v>125</v>
      </c>
      <c r="E1109" s="468" t="s">
        <v>2083</v>
      </c>
      <c r="F1109" s="368" t="s">
        <v>109</v>
      </c>
      <c r="G1109" s="545">
        <v>2.2200000000000002</v>
      </c>
      <c r="H1109" s="324">
        <v>7</v>
      </c>
      <c r="I1109" s="325">
        <v>17.329999999999998</v>
      </c>
      <c r="J1109" s="326">
        <v>63.93</v>
      </c>
      <c r="K1109" s="324">
        <v>45</v>
      </c>
      <c r="L1109" s="325">
        <f>K1109*I1109</f>
        <v>779.84999999999991</v>
      </c>
      <c r="M1109" s="326">
        <v>2876.9</v>
      </c>
      <c r="N1109" s="159"/>
    </row>
    <row r="1110" spans="2:14" ht="15" customHeight="1" thickBot="1">
      <c r="C1110" s="256"/>
      <c r="D1110" s="243"/>
      <c r="E1110" s="242"/>
      <c r="F1110" s="243"/>
      <c r="G1110" s="24"/>
      <c r="H1110" s="24"/>
      <c r="I1110" s="328"/>
      <c r="J1110" s="328"/>
      <c r="K1110" s="243"/>
      <c r="L1110" s="328"/>
      <c r="M1110" s="328"/>
      <c r="N1110" s="328"/>
    </row>
    <row r="1111" spans="2:14" ht="32.1" customHeight="1" thickBot="1">
      <c r="C1111" s="63" t="s">
        <v>2085</v>
      </c>
      <c r="G1111" s="549"/>
      <c r="H1111" s="1133" t="s">
        <v>101</v>
      </c>
      <c r="I1111" s="1675"/>
      <c r="J1111" s="1676"/>
      <c r="K1111" s="1133" t="s">
        <v>102</v>
      </c>
      <c r="L1111" s="1675"/>
      <c r="M1111" s="1676"/>
      <c r="N1111" s="26"/>
    </row>
    <row r="1112" spans="2:14" ht="15" customHeight="1" thickBot="1">
      <c r="B1112" s="21" t="s">
        <v>1868</v>
      </c>
      <c r="C1112" s="28" t="s">
        <v>103</v>
      </c>
      <c r="D1112" s="32" t="s">
        <v>104</v>
      </c>
      <c r="E1112" s="42" t="s">
        <v>105</v>
      </c>
      <c r="F1112" s="32" t="s">
        <v>106</v>
      </c>
      <c r="G1112" s="32" t="s">
        <v>107</v>
      </c>
      <c r="H1112" s="33" t="s">
        <v>108</v>
      </c>
      <c r="I1112" s="34" t="s">
        <v>109</v>
      </c>
      <c r="J1112" s="36" t="s">
        <v>110</v>
      </c>
      <c r="K1112" s="33" t="s">
        <v>111</v>
      </c>
      <c r="L1112" s="34" t="s">
        <v>109</v>
      </c>
      <c r="M1112" s="36" t="s">
        <v>110</v>
      </c>
      <c r="N1112" s="37"/>
    </row>
    <row r="1113" spans="2:14" ht="15" thickBot="1">
      <c r="B1113" s="605"/>
      <c r="C1113" s="240" t="s">
        <v>2086</v>
      </c>
      <c r="D1113" s="1118" t="s">
        <v>250</v>
      </c>
      <c r="E1113" s="240" t="s">
        <v>2087</v>
      </c>
      <c r="F1113" s="1143" t="s">
        <v>108</v>
      </c>
      <c r="G1113" s="540">
        <v>10.8</v>
      </c>
      <c r="H1113" s="1117">
        <v>11</v>
      </c>
      <c r="I1113" s="1128">
        <v>10.76</v>
      </c>
      <c r="J1113" s="1116">
        <v>29.76</v>
      </c>
      <c r="K1113" s="1117">
        <v>81</v>
      </c>
      <c r="L1113" s="1114">
        <v>871.87</v>
      </c>
      <c r="M1113" s="1116">
        <v>2410.75</v>
      </c>
      <c r="N1113" s="328"/>
    </row>
    <row r="1114" spans="2:14" ht="15" thickBot="1">
      <c r="B1114" s="605"/>
      <c r="C1114" s="1" t="s">
        <v>2088</v>
      </c>
      <c r="D1114" s="1120"/>
      <c r="E1114" s="1" t="s">
        <v>2089</v>
      </c>
      <c r="F1114" s="1169"/>
      <c r="G1114" s="541"/>
      <c r="H1114" s="1690"/>
      <c r="I1114" s="1690"/>
      <c r="J1114" s="1694"/>
      <c r="K1114" s="1690"/>
      <c r="L1114" s="1692"/>
      <c r="M1114" s="1694"/>
      <c r="N1114" s="328"/>
    </row>
    <row r="1115" spans="2:14" ht="15" thickBot="1">
      <c r="C1115" s="256"/>
      <c r="D1115" s="80"/>
      <c r="E1115" s="242"/>
      <c r="F1115" s="243"/>
      <c r="G1115" s="80"/>
      <c r="H1115" s="80"/>
      <c r="I1115" s="154"/>
      <c r="J1115" s="80"/>
      <c r="K1115" s="80"/>
      <c r="L1115" s="80"/>
      <c r="M1115" s="80"/>
      <c r="N1115" s="80"/>
    </row>
    <row r="1116" spans="2:14" ht="27" customHeight="1" thickBot="1">
      <c r="C1116" s="63" t="s">
        <v>2090</v>
      </c>
      <c r="G1116" s="549"/>
      <c r="H1116" s="1133" t="s">
        <v>101</v>
      </c>
      <c r="I1116" s="1675"/>
      <c r="J1116" s="1676"/>
      <c r="K1116" s="1133" t="s">
        <v>102</v>
      </c>
      <c r="L1116" s="1675"/>
      <c r="M1116" s="1676"/>
      <c r="N1116" s="26"/>
    </row>
    <row r="1117" spans="2:14" ht="15" customHeight="1" thickBot="1">
      <c r="C1117" s="28" t="s">
        <v>103</v>
      </c>
      <c r="D1117" s="32" t="s">
        <v>104</v>
      </c>
      <c r="E1117" s="30" t="s">
        <v>105</v>
      </c>
      <c r="F1117" s="32" t="s">
        <v>106</v>
      </c>
      <c r="G1117" s="32" t="s">
        <v>107</v>
      </c>
      <c r="H1117" s="33" t="s">
        <v>108</v>
      </c>
      <c r="I1117" s="34" t="s">
        <v>109</v>
      </c>
      <c r="J1117" s="36" t="s">
        <v>110</v>
      </c>
      <c r="K1117" s="33" t="s">
        <v>111</v>
      </c>
      <c r="L1117" s="34" t="s">
        <v>109</v>
      </c>
      <c r="M1117" s="36" t="s">
        <v>110</v>
      </c>
      <c r="N1117" s="37"/>
    </row>
    <row r="1118" spans="2:14" ht="15" thickBot="1">
      <c r="B1118" s="21" t="s">
        <v>326</v>
      </c>
      <c r="C1118" s="250" t="s">
        <v>2091</v>
      </c>
      <c r="D1118" s="1118" t="s">
        <v>227</v>
      </c>
      <c r="E1118" s="240" t="s">
        <v>2092</v>
      </c>
      <c r="F1118" s="1118" t="s">
        <v>108</v>
      </c>
      <c r="G1118" s="1170">
        <v>4.46</v>
      </c>
      <c r="H1118" s="1117">
        <v>20</v>
      </c>
      <c r="I1118" s="1128">
        <v>4.5199999999999996</v>
      </c>
      <c r="J1118" s="1116">
        <v>19.420000000000002</v>
      </c>
      <c r="K1118" s="1117">
        <v>112</v>
      </c>
      <c r="L1118" s="1114">
        <v>506.24</v>
      </c>
      <c r="M1118" s="1116">
        <v>2175.04</v>
      </c>
      <c r="N1118" s="328"/>
    </row>
    <row r="1119" spans="2:14">
      <c r="C1119" s="251" t="s">
        <v>2093</v>
      </c>
      <c r="D1119" s="1119"/>
      <c r="E1119" s="241" t="s">
        <v>2094</v>
      </c>
      <c r="F1119" s="1119"/>
      <c r="G1119" s="1697"/>
      <c r="H1119" s="1686"/>
      <c r="I1119" s="1686"/>
      <c r="J1119" s="1689"/>
      <c r="K1119" s="1686"/>
      <c r="L1119" s="1687"/>
      <c r="M1119" s="1689"/>
      <c r="N1119" s="328"/>
    </row>
    <row r="1120" spans="2:14">
      <c r="C1120" s="251" t="s">
        <v>2095</v>
      </c>
      <c r="D1120" s="1119"/>
      <c r="E1120" s="241" t="s">
        <v>2096</v>
      </c>
      <c r="F1120" s="1119"/>
      <c r="G1120" s="1697"/>
      <c r="H1120" s="1686"/>
      <c r="I1120" s="1686"/>
      <c r="J1120" s="1689"/>
      <c r="K1120" s="1686"/>
      <c r="L1120" s="1687"/>
      <c r="M1120" s="1689"/>
      <c r="N1120" s="328"/>
    </row>
    <row r="1121" spans="2:14" ht="15" thickBot="1">
      <c r="C1121" s="252" t="s">
        <v>2097</v>
      </c>
      <c r="D1121" s="1120"/>
      <c r="E1121" s="1" t="s">
        <v>2098</v>
      </c>
      <c r="F1121" s="1120"/>
      <c r="G1121" s="1700"/>
      <c r="H1121" s="1690"/>
      <c r="I1121" s="1690"/>
      <c r="J1121" s="1694"/>
      <c r="K1121" s="1690"/>
      <c r="L1121" s="1692"/>
      <c r="M1121" s="1694"/>
      <c r="N1121" s="328"/>
    </row>
    <row r="1122" spans="2:14" ht="15" thickBot="1">
      <c r="C1122" s="250" t="s">
        <v>2099</v>
      </c>
      <c r="D1122" s="1118" t="s">
        <v>250</v>
      </c>
      <c r="E1122" s="240" t="s">
        <v>2100</v>
      </c>
      <c r="F1122" s="1118" t="s">
        <v>108</v>
      </c>
      <c r="G1122" s="1170">
        <v>7.5</v>
      </c>
      <c r="H1122" s="1117">
        <v>10</v>
      </c>
      <c r="I1122" s="1128">
        <v>9.59</v>
      </c>
      <c r="J1122" s="1116">
        <v>31.66</v>
      </c>
      <c r="K1122" s="1117">
        <v>36</v>
      </c>
      <c r="L1122" s="1114">
        <v>345.24</v>
      </c>
      <c r="M1122" s="1116">
        <v>1139.76</v>
      </c>
      <c r="N1122" s="328"/>
    </row>
    <row r="1123" spans="2:14">
      <c r="C1123" s="251" t="s">
        <v>2101</v>
      </c>
      <c r="D1123" s="1119"/>
      <c r="E1123" s="241" t="s">
        <v>2102</v>
      </c>
      <c r="F1123" s="1119"/>
      <c r="G1123" s="1697"/>
      <c r="H1123" s="1686"/>
      <c r="I1123" s="1686"/>
      <c r="J1123" s="1689"/>
      <c r="K1123" s="1686"/>
      <c r="L1123" s="1687"/>
      <c r="M1123" s="1689"/>
      <c r="N1123" s="328"/>
    </row>
    <row r="1124" spans="2:14">
      <c r="C1124" s="251" t="s">
        <v>2103</v>
      </c>
      <c r="D1124" s="1119"/>
      <c r="E1124" s="241" t="s">
        <v>2104</v>
      </c>
      <c r="F1124" s="1119"/>
      <c r="G1124" s="1697"/>
      <c r="H1124" s="1686"/>
      <c r="I1124" s="1686"/>
      <c r="J1124" s="1689"/>
      <c r="K1124" s="1686"/>
      <c r="L1124" s="1687"/>
      <c r="M1124" s="1689"/>
      <c r="N1124" s="328"/>
    </row>
    <row r="1125" spans="2:14" ht="15" thickBot="1">
      <c r="C1125" s="252" t="s">
        <v>2105</v>
      </c>
      <c r="D1125" s="1120"/>
      <c r="E1125" s="1" t="s">
        <v>2106</v>
      </c>
      <c r="F1125" s="1120"/>
      <c r="G1125" s="1700"/>
      <c r="H1125" s="1690"/>
      <c r="I1125" s="1690"/>
      <c r="J1125" s="1694"/>
      <c r="K1125" s="1690"/>
      <c r="L1125" s="1692"/>
      <c r="M1125" s="1694"/>
      <c r="N1125" s="328"/>
    </row>
    <row r="1126" spans="2:14" ht="15" thickBot="1">
      <c r="B1126" s="21" t="s">
        <v>2076</v>
      </c>
      <c r="C1126" s="898" t="s">
        <v>2107</v>
      </c>
      <c r="D1126" s="1118" t="s">
        <v>114</v>
      </c>
      <c r="E1126" s="240" t="s">
        <v>2108</v>
      </c>
      <c r="F1126" s="1118" t="s">
        <v>109</v>
      </c>
      <c r="G1126" s="1170">
        <v>2.82</v>
      </c>
      <c r="H1126" s="1117">
        <v>6</v>
      </c>
      <c r="I1126" s="1128">
        <v>11.6251</v>
      </c>
      <c r="J1126" s="1116">
        <v>48.51</v>
      </c>
      <c r="K1126" s="1117">
        <v>48</v>
      </c>
      <c r="L1126" s="1285">
        <f>K1126*I1126</f>
        <v>558.00479999999993</v>
      </c>
      <c r="M1126" s="1312">
        <f>K1126*J1126</f>
        <v>2328.48</v>
      </c>
      <c r="N1126" s="328"/>
    </row>
    <row r="1127" spans="2:14">
      <c r="C1127" s="899" t="s">
        <v>2109</v>
      </c>
      <c r="D1127" s="1119"/>
      <c r="E1127" s="241" t="s">
        <v>2110</v>
      </c>
      <c r="F1127" s="1119"/>
      <c r="G1127" s="1697"/>
      <c r="H1127" s="1686"/>
      <c r="I1127" s="1686"/>
      <c r="J1127" s="1689"/>
      <c r="K1127" s="1686"/>
      <c r="L1127" s="1687"/>
      <c r="M1127" s="1689"/>
      <c r="N1127" s="328"/>
    </row>
    <row r="1128" spans="2:14">
      <c r="C1128" s="899" t="s">
        <v>2111</v>
      </c>
      <c r="D1128" s="1119"/>
      <c r="E1128" s="241" t="s">
        <v>2112</v>
      </c>
      <c r="F1128" s="1119"/>
      <c r="G1128" s="1697"/>
      <c r="H1128" s="1686"/>
      <c r="I1128" s="1686"/>
      <c r="J1128" s="1689"/>
      <c r="K1128" s="1686"/>
      <c r="L1128" s="1687"/>
      <c r="M1128" s="1689"/>
      <c r="N1128" s="328"/>
    </row>
    <row r="1129" spans="2:14" ht="15" thickBot="1">
      <c r="C1129" s="900" t="s">
        <v>2113</v>
      </c>
      <c r="D1129" s="1120"/>
      <c r="E1129" s="1" t="s">
        <v>2114</v>
      </c>
      <c r="F1129" s="1120"/>
      <c r="G1129" s="1700"/>
      <c r="H1129" s="1690"/>
      <c r="I1129" s="1690"/>
      <c r="J1129" s="1694"/>
      <c r="K1129" s="1690"/>
      <c r="L1129" s="1692"/>
      <c r="M1129" s="1694"/>
      <c r="N1129" s="328"/>
    </row>
    <row r="1130" spans="2:14" ht="15" thickBot="1">
      <c r="B1130" s="21" t="s">
        <v>2076</v>
      </c>
      <c r="C1130" s="898" t="s">
        <v>2115</v>
      </c>
      <c r="D1130" s="1118" t="s">
        <v>119</v>
      </c>
      <c r="E1130" s="240" t="s">
        <v>2116</v>
      </c>
      <c r="F1130" s="1118" t="s">
        <v>109</v>
      </c>
      <c r="G1130" s="1170">
        <v>3.42</v>
      </c>
      <c r="H1130" s="1117">
        <v>2</v>
      </c>
      <c r="I1130" s="1128">
        <v>15.5</v>
      </c>
      <c r="J1130" s="1116">
        <v>67.42</v>
      </c>
      <c r="K1130" s="1117">
        <v>35</v>
      </c>
      <c r="L1130" s="1285">
        <f>K1130*I1130</f>
        <v>542.5</v>
      </c>
      <c r="M1130" s="1312">
        <f>K1130*J1130</f>
        <v>2359.7000000000003</v>
      </c>
      <c r="N1130" s="328"/>
    </row>
    <row r="1131" spans="2:14">
      <c r="C1131" s="899" t="s">
        <v>2117</v>
      </c>
      <c r="D1131" s="1119"/>
      <c r="E1131" s="241" t="s">
        <v>2118</v>
      </c>
      <c r="F1131" s="1119"/>
      <c r="G1131" s="1697"/>
      <c r="H1131" s="1686"/>
      <c r="I1131" s="1686"/>
      <c r="J1131" s="1689"/>
      <c r="K1131" s="1686"/>
      <c r="L1131" s="1687"/>
      <c r="M1131" s="1689"/>
      <c r="N1131" s="328"/>
    </row>
    <row r="1132" spans="2:14">
      <c r="C1132" s="899" t="s">
        <v>2119</v>
      </c>
      <c r="D1132" s="1119"/>
      <c r="E1132" s="241" t="s">
        <v>2120</v>
      </c>
      <c r="F1132" s="1119"/>
      <c r="G1132" s="1697"/>
      <c r="H1132" s="1686"/>
      <c r="I1132" s="1686"/>
      <c r="J1132" s="1689"/>
      <c r="K1132" s="1686"/>
      <c r="L1132" s="1687"/>
      <c r="M1132" s="1689"/>
      <c r="N1132" s="328"/>
    </row>
    <row r="1133" spans="2:14" ht="15" thickBot="1">
      <c r="C1133" s="900" t="s">
        <v>2121</v>
      </c>
      <c r="D1133" s="1120"/>
      <c r="E1133" s="1" t="s">
        <v>2122</v>
      </c>
      <c r="F1133" s="1120"/>
      <c r="G1133" s="1700"/>
      <c r="H1133" s="1690"/>
      <c r="I1133" s="1690"/>
      <c r="J1133" s="1694"/>
      <c r="K1133" s="1690"/>
      <c r="L1133" s="1692"/>
      <c r="M1133" s="1694"/>
      <c r="N1133" s="328"/>
    </row>
    <row r="1134" spans="2:14" ht="15" thickBot="1">
      <c r="C1134" s="422" t="s">
        <v>247</v>
      </c>
      <c r="D1134" s="243"/>
      <c r="E1134" s="242"/>
      <c r="F1134" s="300"/>
      <c r="G1134" s="243"/>
      <c r="H1134" s="243"/>
      <c r="I1134" s="328"/>
      <c r="J1134" s="243"/>
      <c r="K1134" s="243"/>
      <c r="L1134" s="243"/>
      <c r="M1134" s="243"/>
      <c r="N1134" s="243"/>
    </row>
    <row r="1135" spans="2:14" ht="31.5" customHeight="1" thickBot="1">
      <c r="C1135" s="63" t="s">
        <v>2123</v>
      </c>
      <c r="G1135" s="549"/>
      <c r="H1135" s="1133" t="s">
        <v>101</v>
      </c>
      <c r="I1135" s="1675"/>
      <c r="J1135" s="1676"/>
      <c r="K1135" s="1133" t="s">
        <v>102</v>
      </c>
      <c r="L1135" s="1675"/>
      <c r="M1135" s="1676"/>
      <c r="N1135" s="26"/>
    </row>
    <row r="1136" spans="2:14" ht="15.75" customHeight="1">
      <c r="C1136" s="28" t="s">
        <v>103</v>
      </c>
      <c r="D1136" s="32" t="s">
        <v>104</v>
      </c>
      <c r="E1136" s="30" t="s">
        <v>105</v>
      </c>
      <c r="F1136" s="32" t="s">
        <v>106</v>
      </c>
      <c r="G1136" s="32" t="s">
        <v>107</v>
      </c>
      <c r="H1136" s="33" t="s">
        <v>108</v>
      </c>
      <c r="I1136" s="34" t="s">
        <v>109</v>
      </c>
      <c r="J1136" s="35" t="s">
        <v>110</v>
      </c>
      <c r="K1136" s="33" t="s">
        <v>111</v>
      </c>
      <c r="L1136" s="34" t="s">
        <v>109</v>
      </c>
      <c r="M1136" s="36" t="s">
        <v>110</v>
      </c>
      <c r="N1136" s="37"/>
    </row>
    <row r="1137" spans="2:14" ht="15.75" customHeight="1">
      <c r="B1137" s="21" t="s">
        <v>112</v>
      </c>
      <c r="C1137" s="178" t="s">
        <v>2124</v>
      </c>
      <c r="D1137" s="1118" t="s">
        <v>114</v>
      </c>
      <c r="E1137" s="178" t="s">
        <v>2125</v>
      </c>
      <c r="F1137" s="1118" t="s">
        <v>109</v>
      </c>
      <c r="G1137" s="582">
        <v>1.92</v>
      </c>
      <c r="H1137" s="418">
        <v>10</v>
      </c>
      <c r="I1137" s="419">
        <v>20.34</v>
      </c>
      <c r="J1137" s="428">
        <v>79.47</v>
      </c>
      <c r="K1137" s="128">
        <v>36</v>
      </c>
      <c r="L1137" s="180">
        <v>732.37</v>
      </c>
      <c r="M1137" s="181">
        <v>2860.92</v>
      </c>
      <c r="N1137" s="355"/>
    </row>
    <row r="1138" spans="2:14" ht="15.75" customHeight="1">
      <c r="C1138" s="314" t="s">
        <v>2126</v>
      </c>
      <c r="D1138" s="1120"/>
      <c r="E1138" s="315" t="s">
        <v>2127</v>
      </c>
      <c r="F1138" s="1119"/>
      <c r="G1138" s="552">
        <v>2.58</v>
      </c>
      <c r="H1138" s="372">
        <v>10</v>
      </c>
      <c r="I1138" s="373">
        <v>18.8933</v>
      </c>
      <c r="J1138" s="384">
        <v>75.069999999999993</v>
      </c>
      <c r="K1138" s="382">
        <v>32</v>
      </c>
      <c r="L1138" s="373">
        <v>604.59</v>
      </c>
      <c r="M1138" s="371">
        <v>2402.2399999999998</v>
      </c>
      <c r="N1138" s="91"/>
    </row>
    <row r="1139" spans="2:14" ht="15.75" customHeight="1">
      <c r="B1139" s="885"/>
      <c r="C1139" s="182" t="s">
        <v>2128</v>
      </c>
      <c r="D1139" s="1118" t="s">
        <v>259</v>
      </c>
      <c r="E1139" s="182" t="s">
        <v>2129</v>
      </c>
      <c r="F1139" s="1119"/>
      <c r="G1139" s="582">
        <v>2.1</v>
      </c>
      <c r="H1139" s="417">
        <v>4</v>
      </c>
      <c r="I1139" s="435">
        <v>15.5</v>
      </c>
      <c r="J1139" s="436">
        <v>64.3</v>
      </c>
      <c r="K1139" s="417">
        <v>36</v>
      </c>
      <c r="L1139" s="183">
        <v>558</v>
      </c>
      <c r="M1139" s="184">
        <v>2314.94</v>
      </c>
      <c r="N1139" s="185"/>
    </row>
    <row r="1140" spans="2:14" ht="15.75" customHeight="1" thickBot="1">
      <c r="C1140" s="186" t="s">
        <v>2130</v>
      </c>
      <c r="D1140" s="1120"/>
      <c r="E1140" s="186" t="s">
        <v>2131</v>
      </c>
      <c r="F1140" s="1119"/>
      <c r="G1140" s="552">
        <v>2.58</v>
      </c>
      <c r="H1140" s="418">
        <v>5</v>
      </c>
      <c r="I1140" s="419">
        <v>19.052099999999999</v>
      </c>
      <c r="J1140" s="437">
        <v>72.295000000000002</v>
      </c>
      <c r="K1140" s="418">
        <v>30</v>
      </c>
      <c r="L1140" s="179">
        <v>571.56299999999999</v>
      </c>
      <c r="M1140" s="181">
        <v>2378.85</v>
      </c>
      <c r="N1140" s="91"/>
    </row>
    <row r="1141" spans="2:14" ht="15" customHeight="1" thickBot="1">
      <c r="B1141" s="885"/>
      <c r="C1141" s="187" t="s">
        <v>2132</v>
      </c>
      <c r="D1141" s="255" t="s">
        <v>377</v>
      </c>
      <c r="E1141" s="187" t="s">
        <v>2133</v>
      </c>
      <c r="F1141" s="1120"/>
      <c r="G1141" s="547">
        <v>2.88</v>
      </c>
      <c r="H1141" s="128">
        <v>3</v>
      </c>
      <c r="I1141" s="438">
        <v>25.86</v>
      </c>
      <c r="J1141" s="129">
        <v>90.2</v>
      </c>
      <c r="K1141" s="128">
        <v>44</v>
      </c>
      <c r="L1141" s="141">
        <v>1139.1300000000001</v>
      </c>
      <c r="M1141" s="188">
        <v>3968.84</v>
      </c>
      <c r="N1141" s="185"/>
    </row>
    <row r="1142" spans="2:14" ht="15" customHeight="1" thickBot="1">
      <c r="C1142" s="187" t="s">
        <v>2134</v>
      </c>
      <c r="D1142" s="255" t="s">
        <v>227</v>
      </c>
      <c r="E1142" s="187" t="s">
        <v>2135</v>
      </c>
      <c r="F1142" s="1118" t="s">
        <v>108</v>
      </c>
      <c r="G1142" s="547">
        <v>2.58</v>
      </c>
      <c r="H1142" s="128">
        <v>24</v>
      </c>
      <c r="I1142" s="438">
        <v>5.9200999999999997</v>
      </c>
      <c r="J1142" s="129">
        <v>21.431999999999999</v>
      </c>
      <c r="K1142" s="128">
        <v>120</v>
      </c>
      <c r="L1142" s="124">
        <v>710.41200000000003</v>
      </c>
      <c r="M1142" s="188">
        <v>2571.84</v>
      </c>
      <c r="N1142" s="185"/>
    </row>
    <row r="1143" spans="2:14" ht="15" customHeight="1" thickBot="1">
      <c r="C1143" s="187" t="s">
        <v>2136</v>
      </c>
      <c r="D1143" s="255" t="s">
        <v>523</v>
      </c>
      <c r="E1143" s="187" t="s">
        <v>2137</v>
      </c>
      <c r="F1143" s="1120"/>
      <c r="G1143" s="547">
        <v>9.42</v>
      </c>
      <c r="H1143" s="128">
        <v>11</v>
      </c>
      <c r="I1143" s="438">
        <v>13.1546</v>
      </c>
      <c r="J1143" s="129">
        <v>46.485900000000001</v>
      </c>
      <c r="K1143" s="128">
        <v>54</v>
      </c>
      <c r="L1143" s="124">
        <v>710.34839999999997</v>
      </c>
      <c r="M1143" s="188">
        <v>2510.2399999999998</v>
      </c>
      <c r="N1143" s="185"/>
    </row>
    <row r="1144" spans="2:14" ht="15" customHeight="1" thickBot="1">
      <c r="C1144" s="256"/>
      <c r="D1144" s="243"/>
      <c r="E1144" s="242"/>
      <c r="F1144" s="243"/>
      <c r="G1144" s="542"/>
      <c r="H1144" s="243"/>
      <c r="I1144" s="328"/>
      <c r="J1144" s="328"/>
      <c r="K1144" s="243"/>
      <c r="L1144" s="328"/>
      <c r="M1144" s="328"/>
      <c r="N1144" s="328"/>
    </row>
    <row r="1145" spans="2:14" ht="29.45" customHeight="1" thickBot="1">
      <c r="B1145" s="51"/>
      <c r="C1145" s="491" t="s">
        <v>2138</v>
      </c>
      <c r="E1145" s="22"/>
      <c r="G1145" s="581"/>
      <c r="H1145" s="1361" t="s">
        <v>101</v>
      </c>
      <c r="I1145" s="1675"/>
      <c r="J1145" s="1736"/>
      <c r="K1145" s="1133" t="s">
        <v>102</v>
      </c>
      <c r="L1145" s="1675"/>
      <c r="M1145" s="1676"/>
      <c r="N1145" s="26"/>
    </row>
    <row r="1146" spans="2:14" ht="15" customHeight="1" thickBot="1">
      <c r="C1146" s="29" t="s">
        <v>103</v>
      </c>
      <c r="D1146" s="31" t="s">
        <v>104</v>
      </c>
      <c r="E1146" s="42" t="s">
        <v>105</v>
      </c>
      <c r="F1146" s="31" t="s">
        <v>106</v>
      </c>
      <c r="G1146" s="175" t="s">
        <v>107</v>
      </c>
      <c r="H1146" s="1002" t="s">
        <v>108</v>
      </c>
      <c r="I1146" s="408" t="s">
        <v>109</v>
      </c>
      <c r="J1146" s="37" t="s">
        <v>110</v>
      </c>
      <c r="K1146" s="31" t="s">
        <v>111</v>
      </c>
      <c r="L1146" s="408" t="s">
        <v>109</v>
      </c>
      <c r="M1146" s="409" t="s">
        <v>110</v>
      </c>
      <c r="N1146" s="37"/>
    </row>
    <row r="1147" spans="2:14" ht="15" thickBot="1">
      <c r="B1147" s="21" t="s">
        <v>112</v>
      </c>
      <c r="C1147" s="912" t="s">
        <v>2139</v>
      </c>
      <c r="D1147" s="1118" t="s">
        <v>2140</v>
      </c>
      <c r="E1147" s="929" t="s">
        <v>2141</v>
      </c>
      <c r="F1147" s="1267" t="s">
        <v>109</v>
      </c>
      <c r="G1147" s="1170">
        <v>1.31</v>
      </c>
      <c r="H1147" s="1129">
        <v>17</v>
      </c>
      <c r="I1147" s="1244">
        <v>18.190000000000001</v>
      </c>
      <c r="J1147" s="1395">
        <v>64.31</v>
      </c>
      <c r="K1147" s="1160">
        <v>40</v>
      </c>
      <c r="L1147" s="1114">
        <v>727.64</v>
      </c>
      <c r="M1147" s="1274">
        <v>2572.3000000000002</v>
      </c>
      <c r="N1147" s="159"/>
    </row>
    <row r="1148" spans="2:14">
      <c r="C1148" s="913" t="s">
        <v>2142</v>
      </c>
      <c r="D1148" s="1119"/>
      <c r="E1148" s="610" t="s">
        <v>2143</v>
      </c>
      <c r="F1148" s="1268"/>
      <c r="G1148" s="1697"/>
      <c r="H1148" s="1686"/>
      <c r="I1148" s="1686"/>
      <c r="J1148" s="1689"/>
      <c r="K1148" s="1686"/>
      <c r="L1148" s="1687"/>
      <c r="M1148" s="1689"/>
      <c r="N1148" s="159"/>
    </row>
    <row r="1149" spans="2:14" ht="15" thickBot="1">
      <c r="C1149" s="915" t="s">
        <v>2144</v>
      </c>
      <c r="D1149" s="1120"/>
      <c r="E1149" s="928" t="s">
        <v>2145</v>
      </c>
      <c r="F1149" s="1269"/>
      <c r="G1149" s="1700"/>
      <c r="H1149" s="1691"/>
      <c r="I1149" s="1690"/>
      <c r="J1149" s="1705"/>
      <c r="K1149" s="1690"/>
      <c r="L1149" s="1692"/>
      <c r="M1149" s="1694"/>
      <c r="N1149" s="159"/>
    </row>
    <row r="1150" spans="2:14" ht="15" thickBot="1">
      <c r="C1150" s="256"/>
      <c r="D1150" s="243"/>
      <c r="E1150" s="242"/>
      <c r="F1150" s="243"/>
      <c r="G1150" s="80"/>
      <c r="H1150" s="243"/>
      <c r="I1150" s="328"/>
      <c r="J1150" s="328"/>
      <c r="K1150" s="243"/>
      <c r="L1150" s="328"/>
      <c r="M1150" s="328"/>
      <c r="N1150" s="328"/>
    </row>
    <row r="1151" spans="2:14" ht="29.1" customHeight="1" thickBot="1">
      <c r="B1151" s="51"/>
      <c r="C1151" s="491" t="s">
        <v>2146</v>
      </c>
      <c r="E1151" s="22"/>
      <c r="G1151" s="581"/>
      <c r="H1151" s="1361" t="s">
        <v>101</v>
      </c>
      <c r="I1151" s="1675"/>
      <c r="J1151" s="1736"/>
      <c r="K1151" s="1133" t="s">
        <v>102</v>
      </c>
      <c r="L1151" s="1675"/>
      <c r="M1151" s="1676"/>
      <c r="N1151" s="26"/>
    </row>
    <row r="1152" spans="2:14" ht="15" customHeight="1" thickBot="1">
      <c r="C1152" s="29" t="s">
        <v>103</v>
      </c>
      <c r="D1152" s="31" t="s">
        <v>104</v>
      </c>
      <c r="E1152" s="42" t="s">
        <v>105</v>
      </c>
      <c r="F1152" s="31" t="s">
        <v>106</v>
      </c>
      <c r="G1152" s="175" t="s">
        <v>107</v>
      </c>
      <c r="H1152" s="1002" t="s">
        <v>108</v>
      </c>
      <c r="I1152" s="408" t="s">
        <v>109</v>
      </c>
      <c r="J1152" s="37" t="s">
        <v>110</v>
      </c>
      <c r="K1152" s="31" t="s">
        <v>111</v>
      </c>
      <c r="L1152" s="408" t="s">
        <v>109</v>
      </c>
      <c r="M1152" s="409" t="s">
        <v>110</v>
      </c>
      <c r="N1152" s="37"/>
    </row>
    <row r="1153" spans="2:14" ht="15" customHeight="1" thickBot="1">
      <c r="B1153" s="21" t="s">
        <v>112</v>
      </c>
      <c r="C1153" s="468" t="s">
        <v>2147</v>
      </c>
      <c r="D1153" s="255" t="s">
        <v>125</v>
      </c>
      <c r="E1153" s="468" t="s">
        <v>2148</v>
      </c>
      <c r="F1153" s="255" t="s">
        <v>109</v>
      </c>
      <c r="G1153" s="226">
        <v>2.1</v>
      </c>
      <c r="H1153" s="199">
        <v>6</v>
      </c>
      <c r="I1153" s="1064">
        <v>14.85</v>
      </c>
      <c r="J1153" s="411">
        <v>74.23</v>
      </c>
      <c r="K1153" s="410">
        <v>36</v>
      </c>
      <c r="L1153" s="325">
        <f>K1153*I1153</f>
        <v>534.6</v>
      </c>
      <c r="M1153" s="411">
        <f>K1153*J1153</f>
        <v>2672.28</v>
      </c>
      <c r="N1153" s="159"/>
    </row>
    <row r="1154" spans="2:14" ht="15" customHeight="1" thickBot="1">
      <c r="C1154" s="422"/>
      <c r="D1154" s="243"/>
      <c r="E1154" s="242"/>
      <c r="F1154" s="243"/>
      <c r="G1154" s="243"/>
      <c r="H1154" s="243"/>
      <c r="I1154" s="328"/>
      <c r="J1154" s="328"/>
      <c r="K1154" s="243"/>
      <c r="L1154" s="328"/>
      <c r="M1154" s="328"/>
      <c r="N1154" s="328"/>
    </row>
    <row r="1155" spans="2:14" ht="29.45" customHeight="1" thickBot="1">
      <c r="B1155" s="51"/>
      <c r="C1155" s="491" t="s">
        <v>2149</v>
      </c>
      <c r="E1155" s="22"/>
      <c r="G1155" s="581"/>
      <c r="H1155" s="1361" t="s">
        <v>101</v>
      </c>
      <c r="I1155" s="1675"/>
      <c r="J1155" s="1736"/>
      <c r="K1155" s="1133" t="s">
        <v>102</v>
      </c>
      <c r="L1155" s="1675"/>
      <c r="M1155" s="1676"/>
      <c r="N1155" s="26"/>
    </row>
    <row r="1156" spans="2:14" ht="15" customHeight="1" thickBot="1">
      <c r="B1156" s="21" t="s">
        <v>112</v>
      </c>
      <c r="C1156" s="28" t="s">
        <v>103</v>
      </c>
      <c r="D1156" s="32" t="s">
        <v>104</v>
      </c>
      <c r="E1156" s="30" t="s">
        <v>105</v>
      </c>
      <c r="F1156" s="32" t="s">
        <v>106</v>
      </c>
      <c r="G1156" s="169" t="s">
        <v>107</v>
      </c>
      <c r="H1156" s="169" t="s">
        <v>108</v>
      </c>
      <c r="I1156" s="190" t="s">
        <v>109</v>
      </c>
      <c r="J1156" s="612" t="s">
        <v>110</v>
      </c>
      <c r="K1156" s="32" t="s">
        <v>111</v>
      </c>
      <c r="L1156" s="190" t="s">
        <v>109</v>
      </c>
      <c r="M1156" s="73" t="s">
        <v>110</v>
      </c>
      <c r="N1156" s="37"/>
    </row>
    <row r="1157" spans="2:14" ht="15.6" customHeight="1" thickBot="1">
      <c r="B1157" s="20"/>
      <c r="C1157" s="493" t="s">
        <v>2150</v>
      </c>
      <c r="D1157" s="542" t="s">
        <v>114</v>
      </c>
      <c r="E1157" s="468" t="s">
        <v>2151</v>
      </c>
      <c r="F1157" s="1118" t="s">
        <v>109</v>
      </c>
      <c r="G1157" s="545">
        <v>3.3</v>
      </c>
      <c r="H1157" s="1003">
        <v>6</v>
      </c>
      <c r="I1157" s="635">
        <v>11.63</v>
      </c>
      <c r="J1157" s="636">
        <v>48.51</v>
      </c>
      <c r="K1157" s="637">
        <v>48</v>
      </c>
      <c r="L1157" s="638">
        <v>558</v>
      </c>
      <c r="M1157" s="359">
        <v>2328.48</v>
      </c>
      <c r="N1157" s="159"/>
    </row>
    <row r="1158" spans="2:14" ht="15.95" customHeight="1" thickBot="1">
      <c r="B1158" s="20"/>
      <c r="C1158" s="632" t="s">
        <v>2152</v>
      </c>
      <c r="D1158" s="255" t="s">
        <v>119</v>
      </c>
      <c r="E1158" s="926" t="s">
        <v>2153</v>
      </c>
      <c r="F1158" s="1120"/>
      <c r="G1158" s="545">
        <v>3.9</v>
      </c>
      <c r="H1158" s="1004">
        <v>2</v>
      </c>
      <c r="I1158" s="639">
        <v>15.5</v>
      </c>
      <c r="J1158" s="640">
        <v>45.86</v>
      </c>
      <c r="K1158" s="641">
        <v>50</v>
      </c>
      <c r="L1158" s="642">
        <v>775</v>
      </c>
      <c r="M1158" s="640">
        <v>2293</v>
      </c>
      <c r="N1158" s="159"/>
    </row>
    <row r="1159" spans="2:14" ht="15" customHeight="1" thickBot="1">
      <c r="B1159" s="51"/>
      <c r="C1159" s="422"/>
      <c r="F1159" s="323"/>
      <c r="G1159" s="256"/>
      <c r="H1159" s="328"/>
      <c r="I1159" s="243"/>
      <c r="J1159" s="243"/>
      <c r="K1159" s="243"/>
      <c r="L1159" s="243"/>
      <c r="M1159" s="20"/>
      <c r="N1159" s="20"/>
    </row>
    <row r="1160" spans="2:14" ht="29.45" customHeight="1" thickBot="1">
      <c r="B1160" s="51"/>
      <c r="C1160" s="161" t="s">
        <v>2154</v>
      </c>
      <c r="E1160" s="22"/>
      <c r="G1160" s="549"/>
      <c r="H1160" s="1133" t="s">
        <v>101</v>
      </c>
      <c r="I1160" s="1675"/>
      <c r="J1160" s="1676"/>
      <c r="K1160" s="1133" t="s">
        <v>102</v>
      </c>
      <c r="L1160" s="1675"/>
      <c r="M1160" s="1676"/>
      <c r="N1160" s="26"/>
    </row>
    <row r="1161" spans="2:14" ht="15" customHeight="1" thickBot="1">
      <c r="C1161" s="29" t="s">
        <v>103</v>
      </c>
      <c r="D1161" s="31" t="s">
        <v>104</v>
      </c>
      <c r="E1161" s="42" t="s">
        <v>105</v>
      </c>
      <c r="F1161" s="31" t="s">
        <v>106</v>
      </c>
      <c r="G1161" s="31" t="s">
        <v>107</v>
      </c>
      <c r="H1161" s="43" t="s">
        <v>108</v>
      </c>
      <c r="I1161" s="44" t="s">
        <v>109</v>
      </c>
      <c r="J1161" s="55" t="s">
        <v>110</v>
      </c>
      <c r="K1161" s="43" t="s">
        <v>111</v>
      </c>
      <c r="L1161" s="44" t="s">
        <v>109</v>
      </c>
      <c r="M1161" s="55" t="s">
        <v>110</v>
      </c>
      <c r="N1161" s="37"/>
    </row>
    <row r="1162" spans="2:14" ht="15.95" customHeight="1" thickBot="1">
      <c r="B1162" s="930"/>
      <c r="C1162" s="931" t="s">
        <v>2155</v>
      </c>
      <c r="D1162" s="1231" t="s">
        <v>114</v>
      </c>
      <c r="E1162" s="68" t="s">
        <v>2156</v>
      </c>
      <c r="F1162" s="1118" t="s">
        <v>109</v>
      </c>
      <c r="G1162" s="540">
        <v>2.04</v>
      </c>
      <c r="H1162" s="1117">
        <v>10</v>
      </c>
      <c r="I1162" s="1128">
        <v>18.893000000000001</v>
      </c>
      <c r="J1162" s="1116">
        <f>31.72*2.205</f>
        <v>69.942599999999999</v>
      </c>
      <c r="K1162" s="1117">
        <v>32</v>
      </c>
      <c r="L1162" s="1114">
        <f>K1162*I1162</f>
        <v>604.57600000000002</v>
      </c>
      <c r="M1162" s="1116">
        <f>K1162*J1162</f>
        <v>2238.1632</v>
      </c>
      <c r="N1162" s="328"/>
    </row>
    <row r="1163" spans="2:14" ht="15.95" customHeight="1" thickBot="1">
      <c r="B1163" s="51"/>
      <c r="C1163" s="932" t="s">
        <v>2157</v>
      </c>
      <c r="D1163" s="1233"/>
      <c r="E1163" s="72" t="s">
        <v>2158</v>
      </c>
      <c r="F1163" s="1119"/>
      <c r="G1163" s="227">
        <v>2.58</v>
      </c>
      <c r="H1163" s="1690"/>
      <c r="I1163" s="1690"/>
      <c r="J1163" s="1694"/>
      <c r="K1163" s="1690"/>
      <c r="L1163" s="1692"/>
      <c r="M1163" s="1694"/>
      <c r="N1163" s="328"/>
    </row>
    <row r="1164" spans="2:14" ht="15" customHeight="1" thickBot="1">
      <c r="C1164" s="1065" t="s">
        <v>2159</v>
      </c>
      <c r="D1164" s="619" t="s">
        <v>119</v>
      </c>
      <c r="E1164" s="611" t="s">
        <v>2160</v>
      </c>
      <c r="F1164" s="1120"/>
      <c r="G1164" s="226">
        <v>3.18</v>
      </c>
      <c r="H1164" s="519">
        <v>3</v>
      </c>
      <c r="I1164" s="354">
        <v>22.96</v>
      </c>
      <c r="J1164" s="520">
        <f>38.16*2.205</f>
        <v>84.142799999999994</v>
      </c>
      <c r="K1164" s="519">
        <v>27</v>
      </c>
      <c r="L1164" s="354">
        <v>619.95399999999995</v>
      </c>
      <c r="M1164" s="520">
        <f>J1164*K1164</f>
        <v>2271.8555999999999</v>
      </c>
      <c r="N1164" s="328"/>
    </row>
    <row r="1165" spans="2:14" ht="15" customHeight="1" thickBot="1">
      <c r="C1165" s="422"/>
      <c r="D1165" s="243"/>
      <c r="E1165" s="242"/>
      <c r="F1165" s="243"/>
      <c r="G1165" s="243"/>
      <c r="H1165" s="243"/>
      <c r="I1165" s="328"/>
      <c r="J1165" s="328"/>
      <c r="K1165" s="243"/>
      <c r="L1165" s="328"/>
      <c r="M1165" s="328"/>
      <c r="N1165" s="328"/>
    </row>
    <row r="1166" spans="2:14" ht="29.45" customHeight="1" thickBot="1">
      <c r="B1166" s="51"/>
      <c r="C1166" s="161" t="s">
        <v>2161</v>
      </c>
      <c r="E1166" s="22"/>
      <c r="G1166" s="581"/>
      <c r="H1166" s="1361" t="s">
        <v>101</v>
      </c>
      <c r="I1166" s="1675"/>
      <c r="J1166" s="1736"/>
      <c r="K1166" s="1133" t="s">
        <v>102</v>
      </c>
      <c r="L1166" s="1675"/>
      <c r="M1166" s="1676"/>
      <c r="N1166" s="159"/>
    </row>
    <row r="1167" spans="2:14" ht="16.350000000000001" customHeight="1" thickBot="1">
      <c r="B1167" s="51"/>
      <c r="C1167" s="29" t="s">
        <v>103</v>
      </c>
      <c r="D1167" s="31" t="s">
        <v>104</v>
      </c>
      <c r="E1167" s="42" t="s">
        <v>105</v>
      </c>
      <c r="F1167" s="31" t="s">
        <v>106</v>
      </c>
      <c r="G1167" s="175" t="s">
        <v>107</v>
      </c>
      <c r="H1167" s="999" t="s">
        <v>108</v>
      </c>
      <c r="I1167" s="190" t="s">
        <v>109</v>
      </c>
      <c r="J1167" s="191" t="s">
        <v>110</v>
      </c>
      <c r="K1167" s="32" t="s">
        <v>111</v>
      </c>
      <c r="L1167" s="190" t="s">
        <v>109</v>
      </c>
      <c r="M1167" s="192" t="s">
        <v>110</v>
      </c>
      <c r="N1167" s="159"/>
    </row>
    <row r="1168" spans="2:14" ht="16.350000000000001" customHeight="1" thickBot="1">
      <c r="B1168" s="602" t="s">
        <v>150</v>
      </c>
      <c r="C1168" s="933" t="s">
        <v>2162</v>
      </c>
      <c r="D1168" s="542" t="s">
        <v>278</v>
      </c>
      <c r="E1168" s="468" t="s">
        <v>2163</v>
      </c>
      <c r="F1168" s="1118" t="s">
        <v>109</v>
      </c>
      <c r="G1168" s="545">
        <v>3.6</v>
      </c>
      <c r="H1168" s="1003">
        <v>4</v>
      </c>
      <c r="I1168" s="635">
        <v>11.625</v>
      </c>
      <c r="J1168" s="636">
        <v>45.2</v>
      </c>
      <c r="K1168" s="637">
        <v>48</v>
      </c>
      <c r="L1168" s="638">
        <v>558</v>
      </c>
      <c r="M1168" s="359">
        <v>2169.41</v>
      </c>
      <c r="N1168" s="159"/>
    </row>
    <row r="1169" spans="1:14" ht="16.350000000000001" customHeight="1" thickBot="1">
      <c r="B1169" s="602" t="s">
        <v>150</v>
      </c>
      <c r="C1169" s="933" t="s">
        <v>2164</v>
      </c>
      <c r="D1169" s="255" t="s">
        <v>125</v>
      </c>
      <c r="E1169" s="926" t="s">
        <v>2165</v>
      </c>
      <c r="F1169" s="1120"/>
      <c r="G1169" s="545">
        <v>3</v>
      </c>
      <c r="H1169" s="1004">
        <v>5</v>
      </c>
      <c r="I1169" s="639">
        <v>12.92</v>
      </c>
      <c r="J1169" s="640">
        <v>52.92</v>
      </c>
      <c r="K1169" s="641">
        <v>48</v>
      </c>
      <c r="L1169" s="642">
        <v>620.16</v>
      </c>
      <c r="M1169" s="640">
        <v>2539.92</v>
      </c>
      <c r="N1169" s="159"/>
    </row>
    <row r="1170" spans="1:14" ht="15" customHeight="1" thickBot="1">
      <c r="B1170" s="51"/>
      <c r="C1170" s="422"/>
      <c r="D1170" s="318"/>
      <c r="E1170" s="67"/>
      <c r="F1170" s="243"/>
      <c r="G1170" s="323"/>
      <c r="H1170" s="243"/>
      <c r="I1170" s="328"/>
      <c r="J1170" s="328"/>
      <c r="K1170" s="243"/>
      <c r="L1170" s="243"/>
      <c r="M1170" s="328"/>
      <c r="N1170" s="328"/>
    </row>
    <row r="1171" spans="1:14" ht="32.1" customHeight="1" thickBot="1">
      <c r="C1171" s="19" t="s">
        <v>2166</v>
      </c>
      <c r="G1171" s="549"/>
      <c r="H1171" s="1133" t="s">
        <v>101</v>
      </c>
      <c r="I1171" s="1675"/>
      <c r="J1171" s="1676"/>
      <c r="K1171" s="1133" t="s">
        <v>102</v>
      </c>
      <c r="L1171" s="1675"/>
      <c r="M1171" s="1676"/>
      <c r="N1171" s="26"/>
    </row>
    <row r="1172" spans="1:14" ht="15" customHeight="1" thickBot="1">
      <c r="B1172" s="21" t="s">
        <v>112</v>
      </c>
      <c r="C1172" s="29" t="s">
        <v>103</v>
      </c>
      <c r="D1172" s="32" t="s">
        <v>104</v>
      </c>
      <c r="E1172" s="42" t="s">
        <v>105</v>
      </c>
      <c r="F1172" s="31" t="s">
        <v>106</v>
      </c>
      <c r="G1172" s="32" t="s">
        <v>107</v>
      </c>
      <c r="H1172" s="43" t="s">
        <v>108</v>
      </c>
      <c r="I1172" s="44" t="s">
        <v>109</v>
      </c>
      <c r="J1172" s="55" t="s">
        <v>110</v>
      </c>
      <c r="K1172" s="43" t="s">
        <v>111</v>
      </c>
      <c r="L1172" s="44" t="s">
        <v>109</v>
      </c>
      <c r="M1172" s="55" t="s">
        <v>110</v>
      </c>
      <c r="N1172" s="37"/>
    </row>
    <row r="1173" spans="1:14" ht="15" thickBot="1">
      <c r="B1173" s="885"/>
      <c r="C1173" s="935" t="s">
        <v>2167</v>
      </c>
      <c r="D1173" s="1164" t="s">
        <v>2168</v>
      </c>
      <c r="E1173" s="613" t="s">
        <v>2169</v>
      </c>
      <c r="F1173" s="1143" t="s">
        <v>109</v>
      </c>
      <c r="G1173" s="1441">
        <v>4.9800000000000004</v>
      </c>
      <c r="H1173" s="1160">
        <v>2</v>
      </c>
      <c r="I1173" s="1244">
        <f>0.72*10.764</f>
        <v>7.7500799999999996</v>
      </c>
      <c r="J1173" s="1274">
        <f>33.4*2.205</f>
        <v>73.647000000000006</v>
      </c>
      <c r="K1173" s="1160">
        <v>32</v>
      </c>
      <c r="L1173" s="1113">
        <f>K1173*I1173</f>
        <v>248.00255999999999</v>
      </c>
      <c r="M1173" s="1136">
        <f>K1173*J1173</f>
        <v>2356.7040000000002</v>
      </c>
      <c r="N1173" s="355"/>
    </row>
    <row r="1174" spans="1:14">
      <c r="B1174" s="51"/>
      <c r="C1174" s="936" t="s">
        <v>2170</v>
      </c>
      <c r="D1174" s="1164"/>
      <c r="E1174" s="614" t="s">
        <v>2171</v>
      </c>
      <c r="F1174" s="1144"/>
      <c r="G1174" s="1697"/>
      <c r="H1174" s="1686"/>
      <c r="I1174" s="1686"/>
      <c r="J1174" s="1689"/>
      <c r="K1174" s="1686"/>
      <c r="L1174" s="1687"/>
      <c r="M1174" s="1689"/>
      <c r="N1174" s="355"/>
    </row>
    <row r="1175" spans="1:14" s="94" customFormat="1">
      <c r="A1175" s="93"/>
      <c r="B1175" s="511"/>
      <c r="C1175" s="936" t="s">
        <v>2172</v>
      </c>
      <c r="D1175" s="1164"/>
      <c r="E1175" s="614" t="s">
        <v>2173</v>
      </c>
      <c r="F1175" s="1144"/>
      <c r="G1175" s="1697"/>
      <c r="H1175" s="1686"/>
      <c r="I1175" s="1686"/>
      <c r="J1175" s="1689"/>
      <c r="K1175" s="1686"/>
      <c r="L1175" s="1687"/>
      <c r="M1175" s="1689"/>
      <c r="N1175" s="355"/>
    </row>
    <row r="1176" spans="1:14" s="94" customFormat="1" ht="15" thickBot="1">
      <c r="A1176" s="93"/>
      <c r="B1176" s="511"/>
      <c r="C1176" s="937" t="s">
        <v>2174</v>
      </c>
      <c r="D1176" s="1163"/>
      <c r="E1176" s="1024" t="s">
        <v>2175</v>
      </c>
      <c r="F1176" s="1169"/>
      <c r="G1176" s="1700"/>
      <c r="H1176" s="1690"/>
      <c r="I1176" s="1690"/>
      <c r="J1176" s="1694"/>
      <c r="K1176" s="1690"/>
      <c r="L1176" s="1692"/>
      <c r="M1176" s="1694"/>
      <c r="N1176" s="355"/>
    </row>
    <row r="1177" spans="1:14" ht="16.350000000000001" customHeight="1" thickBot="1">
      <c r="B1177" s="20"/>
      <c r="C1177" s="1034" t="s">
        <v>272</v>
      </c>
      <c r="D1177" s="1333" t="s">
        <v>2176</v>
      </c>
      <c r="E1177" s="240" t="s">
        <v>2177</v>
      </c>
      <c r="F1177" s="1143" t="s">
        <v>109</v>
      </c>
      <c r="G1177" s="1170">
        <v>5.4</v>
      </c>
      <c r="H1177" s="1117">
        <v>1</v>
      </c>
      <c r="I1177" s="1128">
        <v>5.8125</v>
      </c>
      <c r="J1177" s="1116">
        <v>55.116</v>
      </c>
      <c r="K1177" s="1117">
        <v>40</v>
      </c>
      <c r="L1177" s="1114">
        <v>232.5</v>
      </c>
      <c r="M1177" s="1116">
        <v>2204.64</v>
      </c>
      <c r="N1177" s="328"/>
    </row>
    <row r="1178" spans="1:14" ht="16.350000000000001" customHeight="1">
      <c r="B1178" s="20"/>
      <c r="C1178" s="1035" t="s">
        <v>275</v>
      </c>
      <c r="D1178" s="1334"/>
      <c r="E1178" s="241" t="s">
        <v>2178</v>
      </c>
      <c r="F1178" s="1144"/>
      <c r="G1178" s="1697"/>
      <c r="H1178" s="1686"/>
      <c r="I1178" s="1686"/>
      <c r="J1178" s="1689"/>
      <c r="K1178" s="1686"/>
      <c r="L1178" s="1687"/>
      <c r="M1178" s="1689"/>
      <c r="N1178" s="328"/>
    </row>
    <row r="1179" spans="1:14">
      <c r="B1179" s="20"/>
      <c r="C1179" s="1035" t="s">
        <v>2179</v>
      </c>
      <c r="D1179" s="1334"/>
      <c r="E1179" s="630" t="s">
        <v>2180</v>
      </c>
      <c r="F1179" s="1144"/>
      <c r="G1179" s="1697"/>
      <c r="H1179" s="1686"/>
      <c r="I1179" s="1686"/>
      <c r="J1179" s="1689"/>
      <c r="K1179" s="1686"/>
      <c r="L1179" s="1687"/>
      <c r="M1179" s="1689"/>
      <c r="N1179" s="328"/>
    </row>
    <row r="1180" spans="1:14" ht="15" thickBot="1">
      <c r="B1180" s="20"/>
      <c r="C1180" s="1036" t="s">
        <v>2181</v>
      </c>
      <c r="D1180" s="1335"/>
      <c r="E1180" s="631" t="s">
        <v>2182</v>
      </c>
      <c r="F1180" s="1435"/>
      <c r="G1180" s="1700"/>
      <c r="H1180" s="1690"/>
      <c r="I1180" s="1690"/>
      <c r="J1180" s="1694"/>
      <c r="K1180" s="1690"/>
      <c r="L1180" s="1692"/>
      <c r="M1180" s="1694"/>
      <c r="N1180" s="328"/>
    </row>
    <row r="1181" spans="1:14" ht="15" thickBot="1">
      <c r="B1181" s="51"/>
      <c r="C1181" s="422"/>
      <c r="D1181" s="233"/>
      <c r="E1181" s="243"/>
      <c r="F1181" s="323"/>
      <c r="G1181" s="243"/>
      <c r="H1181" s="328"/>
      <c r="I1181" s="243"/>
      <c r="J1181" s="243"/>
      <c r="K1181" s="243"/>
      <c r="L1181" s="243"/>
      <c r="M1181" s="20"/>
      <c r="N1181" s="20"/>
    </row>
    <row r="1182" spans="1:14" ht="31.5" customHeight="1" thickBot="1">
      <c r="C1182" s="63" t="s">
        <v>2183</v>
      </c>
      <c r="E1182" s="22"/>
      <c r="F1182" s="300"/>
      <c r="G1182" s="549"/>
      <c r="H1182" s="1133" t="s">
        <v>101</v>
      </c>
      <c r="I1182" s="1675"/>
      <c r="J1182" s="1676"/>
      <c r="K1182" s="1211" t="s">
        <v>102</v>
      </c>
      <c r="L1182" s="1675"/>
      <c r="M1182" s="1676"/>
      <c r="N1182" s="26"/>
    </row>
    <row r="1183" spans="1:14" ht="15" customHeight="1" thickBot="1">
      <c r="C1183" s="29" t="s">
        <v>103</v>
      </c>
      <c r="D1183" s="32" t="s">
        <v>104</v>
      </c>
      <c r="E1183" s="30" t="s">
        <v>105</v>
      </c>
      <c r="F1183" s="169" t="s">
        <v>106</v>
      </c>
      <c r="G1183" s="32" t="s">
        <v>107</v>
      </c>
      <c r="H1183" s="33" t="s">
        <v>108</v>
      </c>
      <c r="I1183" s="34" t="s">
        <v>109</v>
      </c>
      <c r="J1183" s="73" t="s">
        <v>110</v>
      </c>
      <c r="K1183" s="33" t="s">
        <v>111</v>
      </c>
      <c r="L1183" s="195" t="s">
        <v>109</v>
      </c>
      <c r="M1183" s="196" t="s">
        <v>110</v>
      </c>
      <c r="N1183" s="37"/>
    </row>
    <row r="1184" spans="1:14" s="24" customFormat="1" ht="15" thickBot="1">
      <c r="B1184" s="21" t="s">
        <v>112</v>
      </c>
      <c r="C1184" s="251" t="s">
        <v>2184</v>
      </c>
      <c r="D1184" s="1119" t="s">
        <v>114</v>
      </c>
      <c r="E1184" s="268" t="s">
        <v>2185</v>
      </c>
      <c r="F1184" s="1119" t="s">
        <v>109</v>
      </c>
      <c r="G1184" s="584">
        <v>2.34</v>
      </c>
      <c r="H1184" s="1352">
        <v>10</v>
      </c>
      <c r="I1184" s="1239">
        <v>18.940000000000001</v>
      </c>
      <c r="J1184" s="1258">
        <v>75.56</v>
      </c>
      <c r="K1184" s="1352">
        <v>32</v>
      </c>
      <c r="L1184" s="1336">
        <v>606.22</v>
      </c>
      <c r="M1184" s="1258">
        <v>2417.92</v>
      </c>
      <c r="N1184" s="328"/>
    </row>
    <row r="1185" spans="1:14" s="24" customFormat="1" ht="15" thickBot="1">
      <c r="B1185" s="21"/>
      <c r="C1185" s="265" t="s">
        <v>2186</v>
      </c>
      <c r="D1185" s="1120"/>
      <c r="E1185" s="266" t="s">
        <v>2187</v>
      </c>
      <c r="F1185" s="1119"/>
      <c r="G1185" s="580">
        <v>1.86</v>
      </c>
      <c r="H1185" s="1686"/>
      <c r="I1185" s="1690"/>
      <c r="J1185" s="1689"/>
      <c r="K1185" s="1686"/>
      <c r="L1185" s="1687"/>
      <c r="M1185" s="1689"/>
      <c r="N1185" s="328"/>
    </row>
    <row r="1186" spans="1:14" s="94" customFormat="1" ht="15" thickBot="1">
      <c r="A1186" s="93"/>
      <c r="B1186" s="21" t="s">
        <v>1868</v>
      </c>
      <c r="C1186" s="250" t="s">
        <v>2188</v>
      </c>
      <c r="D1186" s="1118" t="s">
        <v>523</v>
      </c>
      <c r="E1186" s="306" t="s">
        <v>2189</v>
      </c>
      <c r="F1186" s="1118" t="s">
        <v>108</v>
      </c>
      <c r="G1186" s="1170">
        <v>9</v>
      </c>
      <c r="H1186" s="1112">
        <v>11</v>
      </c>
      <c r="I1186" s="1159">
        <v>13.1546</v>
      </c>
      <c r="J1186" s="1136">
        <v>45.76</v>
      </c>
      <c r="K1186" s="1112">
        <v>54</v>
      </c>
      <c r="L1186" s="1113">
        <v>710.34839999999997</v>
      </c>
      <c r="M1186" s="1136">
        <v>2471.04</v>
      </c>
      <c r="N1186" s="355"/>
    </row>
    <row r="1187" spans="1:14" s="94" customFormat="1" ht="15" thickBot="1">
      <c r="A1187" s="93"/>
      <c r="B1187" s="21"/>
      <c r="C1187" s="252" t="s">
        <v>2190</v>
      </c>
      <c r="D1187" s="1120"/>
      <c r="E1187" s="319" t="s">
        <v>2191</v>
      </c>
      <c r="F1187" s="1120"/>
      <c r="G1187" s="1700"/>
      <c r="H1187" s="1690"/>
      <c r="I1187" s="1690"/>
      <c r="J1187" s="1694"/>
      <c r="K1187" s="1690"/>
      <c r="L1187" s="1692"/>
      <c r="M1187" s="1694"/>
      <c r="N1187" s="355"/>
    </row>
    <row r="1188" spans="1:14" s="94" customFormat="1" ht="15" customHeight="1" thickBot="1">
      <c r="A1188" s="93"/>
      <c r="B1188" s="21"/>
      <c r="C1188" s="256"/>
      <c r="D1188" s="243"/>
      <c r="E1188" s="256"/>
      <c r="F1188" s="256"/>
      <c r="G1188" s="243"/>
      <c r="H1188" s="328"/>
      <c r="I1188" s="243"/>
      <c r="J1188" s="243"/>
      <c r="K1188" s="243"/>
      <c r="L1188" s="243"/>
      <c r="M1188" s="20"/>
      <c r="N1188" s="20"/>
    </row>
    <row r="1189" spans="1:14" s="94" customFormat="1" ht="29.45" customHeight="1" thickBot="1">
      <c r="A1189" s="93"/>
      <c r="B1189" s="21"/>
      <c r="C1189" s="491" t="s">
        <v>2192</v>
      </c>
      <c r="D1189" s="22"/>
      <c r="E1189" s="20"/>
      <c r="F1189" s="22"/>
      <c r="G1189" s="549"/>
      <c r="H1189" s="1133" t="s">
        <v>101</v>
      </c>
      <c r="I1189" s="1675"/>
      <c r="J1189" s="1676"/>
      <c r="K1189" s="1133" t="s">
        <v>102</v>
      </c>
      <c r="L1189" s="1675"/>
      <c r="M1189" s="1676"/>
      <c r="N1189" s="26"/>
    </row>
    <row r="1190" spans="1:14" ht="15" customHeight="1" thickBot="1">
      <c r="B1190" s="511"/>
      <c r="C1190" s="29" t="s">
        <v>103</v>
      </c>
      <c r="D1190" s="31" t="s">
        <v>104</v>
      </c>
      <c r="E1190" s="42" t="s">
        <v>105</v>
      </c>
      <c r="F1190" s="31" t="s">
        <v>106</v>
      </c>
      <c r="G1190" s="32" t="s">
        <v>107</v>
      </c>
      <c r="H1190" s="43" t="s">
        <v>108</v>
      </c>
      <c r="I1190" s="44" t="s">
        <v>109</v>
      </c>
      <c r="J1190" s="55" t="s">
        <v>110</v>
      </c>
      <c r="K1190" s="197" t="s">
        <v>111</v>
      </c>
      <c r="L1190" s="44" t="s">
        <v>109</v>
      </c>
      <c r="M1190" s="55" t="s">
        <v>110</v>
      </c>
      <c r="N1190" s="37"/>
    </row>
    <row r="1191" spans="1:14" ht="15.95" customHeight="1" thickBot="1">
      <c r="B1191" s="515" t="s">
        <v>795</v>
      </c>
      <c r="C1191" s="903" t="s">
        <v>2193</v>
      </c>
      <c r="D1191" s="255" t="s">
        <v>377</v>
      </c>
      <c r="E1191" s="198" t="s">
        <v>2194</v>
      </c>
      <c r="F1191" s="199" t="s">
        <v>109</v>
      </c>
      <c r="G1191" s="573">
        <v>3.54</v>
      </c>
      <c r="H1191" s="519">
        <v>2</v>
      </c>
      <c r="I1191" s="354">
        <v>17.4377</v>
      </c>
      <c r="J1191" s="520">
        <v>75.587000000000003</v>
      </c>
      <c r="K1191" s="597">
        <v>36</v>
      </c>
      <c r="L1191" s="354">
        <f>K1191*I1191</f>
        <v>627.75720000000001</v>
      </c>
      <c r="M1191" s="520">
        <f>K1191*J1191</f>
        <v>2721.1320000000001</v>
      </c>
      <c r="N1191" s="37"/>
    </row>
    <row r="1192" spans="1:14" ht="15" customHeight="1" thickBot="1">
      <c r="C1192" s="300"/>
      <c r="E1192" s="242"/>
      <c r="F1192" s="80"/>
      <c r="G1192" s="243"/>
      <c r="H1192" s="160"/>
      <c r="I1192" s="160"/>
      <c r="J1192" s="160"/>
      <c r="K1192" s="160"/>
      <c r="L1192" s="160"/>
      <c r="M1192" s="160"/>
      <c r="N1192" s="80"/>
    </row>
    <row r="1193" spans="1:14" ht="32.1" customHeight="1" thickBot="1">
      <c r="C1193" s="19" t="s">
        <v>2195</v>
      </c>
      <c r="G1193" s="549"/>
      <c r="H1193" s="1133" t="s">
        <v>101</v>
      </c>
      <c r="I1193" s="1675"/>
      <c r="J1193" s="1676"/>
      <c r="K1193" s="1133" t="s">
        <v>102</v>
      </c>
      <c r="L1193" s="1675"/>
      <c r="M1193" s="1676"/>
      <c r="N1193" s="26"/>
    </row>
    <row r="1194" spans="1:14" ht="15" customHeight="1" thickBot="1">
      <c r="C1194" s="29" t="s">
        <v>103</v>
      </c>
      <c r="D1194" s="31" t="s">
        <v>104</v>
      </c>
      <c r="E1194" s="42" t="s">
        <v>105</v>
      </c>
      <c r="F1194" s="31" t="s">
        <v>106</v>
      </c>
      <c r="G1194" s="31" t="s">
        <v>107</v>
      </c>
      <c r="H1194" s="43" t="s">
        <v>108</v>
      </c>
      <c r="I1194" s="44" t="s">
        <v>109</v>
      </c>
      <c r="J1194" s="55" t="s">
        <v>110</v>
      </c>
      <c r="K1194" s="43" t="s">
        <v>111</v>
      </c>
      <c r="L1194" s="44" t="s">
        <v>109</v>
      </c>
      <c r="M1194" s="55" t="s">
        <v>110</v>
      </c>
      <c r="N1194" s="37"/>
    </row>
    <row r="1195" spans="1:14" ht="15" thickBot="1">
      <c r="B1195" s="515" t="s">
        <v>112</v>
      </c>
      <c r="C1195" s="250" t="s">
        <v>2196</v>
      </c>
      <c r="D1195" s="1118" t="s">
        <v>484</v>
      </c>
      <c r="E1195" s="306" t="s">
        <v>2197</v>
      </c>
      <c r="F1195" s="1472" t="s">
        <v>109</v>
      </c>
      <c r="G1195" s="1151">
        <v>1.98</v>
      </c>
      <c r="H1195" s="1290">
        <v>9</v>
      </c>
      <c r="I1195" s="1347">
        <v>17.52</v>
      </c>
      <c r="J1195" s="1130">
        <v>59.69</v>
      </c>
      <c r="K1195" s="1290">
        <v>45</v>
      </c>
      <c r="L1195" s="1130">
        <v>788.44</v>
      </c>
      <c r="M1195" s="1347">
        <v>2685.96</v>
      </c>
      <c r="N1195" s="328"/>
    </row>
    <row r="1196" spans="1:14">
      <c r="B1196" s="511"/>
      <c r="C1196" s="224" t="s">
        <v>2198</v>
      </c>
      <c r="D1196" s="1119"/>
      <c r="E1196" s="470" t="s">
        <v>2199</v>
      </c>
      <c r="F1196" s="1473"/>
      <c r="G1196" s="1697"/>
      <c r="H1196" s="1697"/>
      <c r="I1196" s="1697"/>
      <c r="J1196" s="1697"/>
      <c r="K1196" s="1697"/>
      <c r="L1196" s="1697"/>
      <c r="M1196" s="1697"/>
      <c r="N1196" s="328"/>
    </row>
    <row r="1197" spans="1:14" ht="16.350000000000001" customHeight="1">
      <c r="B1197" s="511"/>
      <c r="C1197" s="251" t="s">
        <v>2200</v>
      </c>
      <c r="D1197" s="1119"/>
      <c r="E1197" s="307" t="s">
        <v>2201</v>
      </c>
      <c r="F1197" s="1473"/>
      <c r="G1197" s="1697"/>
      <c r="H1197" s="1697"/>
      <c r="I1197" s="1697"/>
      <c r="J1197" s="1697"/>
      <c r="K1197" s="1697"/>
      <c r="L1197" s="1697"/>
      <c r="M1197" s="1697"/>
      <c r="N1197" s="328"/>
    </row>
    <row r="1198" spans="1:14" ht="16.350000000000001" customHeight="1" thickBot="1">
      <c r="B1198" s="511"/>
      <c r="C1198" s="252" t="s">
        <v>2202</v>
      </c>
      <c r="D1198" s="1120"/>
      <c r="E1198" s="319" t="s">
        <v>2203</v>
      </c>
      <c r="F1198" s="1474"/>
      <c r="G1198" s="1700"/>
      <c r="H1198" s="1700"/>
      <c r="I1198" s="1700"/>
      <c r="J1198" s="1700"/>
      <c r="K1198" s="1700"/>
      <c r="L1198" s="1700"/>
      <c r="M1198" s="1700"/>
      <c r="N1198" s="328"/>
    </row>
    <row r="1199" spans="1:14" ht="15" customHeight="1" thickBot="1">
      <c r="B1199" s="511"/>
      <c r="C1199" s="300"/>
      <c r="E1199" s="242"/>
      <c r="F1199" s="80"/>
      <c r="G1199" s="243"/>
      <c r="H1199" s="160"/>
      <c r="I1199" s="160"/>
      <c r="J1199" s="160"/>
      <c r="K1199" s="160"/>
      <c r="L1199" s="160"/>
      <c r="M1199" s="160"/>
      <c r="N1199" s="80"/>
    </row>
    <row r="1200" spans="1:14" ht="32.1" customHeight="1" thickBot="1">
      <c r="B1200" s="511"/>
      <c r="C1200" s="63" t="s">
        <v>2204</v>
      </c>
      <c r="G1200" s="549"/>
      <c r="H1200" s="1133" t="s">
        <v>101</v>
      </c>
      <c r="I1200" s="1675"/>
      <c r="J1200" s="1676"/>
      <c r="K1200" s="1133" t="s">
        <v>102</v>
      </c>
      <c r="L1200" s="1675"/>
      <c r="M1200" s="1676"/>
      <c r="N1200" s="26"/>
    </row>
    <row r="1201" spans="2:14" ht="15" customHeight="1" thickBot="1">
      <c r="B1201" s="511" t="s">
        <v>112</v>
      </c>
      <c r="C1201" s="29" t="s">
        <v>103</v>
      </c>
      <c r="D1201" s="31" t="s">
        <v>104</v>
      </c>
      <c r="E1201" s="42" t="s">
        <v>105</v>
      </c>
      <c r="F1201" s="31" t="s">
        <v>106</v>
      </c>
      <c r="G1201" s="31" t="s">
        <v>107</v>
      </c>
      <c r="H1201" s="43" t="s">
        <v>108</v>
      </c>
      <c r="I1201" s="44" t="s">
        <v>109</v>
      </c>
      <c r="J1201" s="55" t="s">
        <v>110</v>
      </c>
      <c r="K1201" s="43" t="s">
        <v>111</v>
      </c>
      <c r="L1201" s="44" t="s">
        <v>109</v>
      </c>
      <c r="M1201" s="55" t="s">
        <v>110</v>
      </c>
      <c r="N1201" s="37"/>
    </row>
    <row r="1202" spans="2:14" ht="15" customHeight="1" thickBot="1">
      <c r="B1202" s="515" t="s">
        <v>2205</v>
      </c>
      <c r="C1202" s="257" t="s">
        <v>2206</v>
      </c>
      <c r="D1202" s="255" t="s">
        <v>114</v>
      </c>
      <c r="E1202" s="304" t="s">
        <v>2207</v>
      </c>
      <c r="F1202" s="1118" t="s">
        <v>109</v>
      </c>
      <c r="G1202" s="967">
        <v>3.3</v>
      </c>
      <c r="H1202" s="255">
        <v>6</v>
      </c>
      <c r="I1202" s="471">
        <v>11.63</v>
      </c>
      <c r="J1202" s="471">
        <f>M1202/K1202</f>
        <v>48.497916666666669</v>
      </c>
      <c r="K1202" s="255">
        <v>48</v>
      </c>
      <c r="L1202" s="471">
        <v>558.24</v>
      </c>
      <c r="M1202" s="471">
        <v>2327.9</v>
      </c>
      <c r="N1202" s="328"/>
    </row>
    <row r="1203" spans="2:14" ht="15" customHeight="1" thickBot="1">
      <c r="B1203" s="515" t="s">
        <v>2208</v>
      </c>
      <c r="C1203" s="257" t="s">
        <v>2209</v>
      </c>
      <c r="D1203" s="238" t="s">
        <v>119</v>
      </c>
      <c r="E1203" s="606" t="s">
        <v>2210</v>
      </c>
      <c r="F1203" s="1119"/>
      <c r="G1203" s="967">
        <v>3.9</v>
      </c>
      <c r="H1203" s="255">
        <v>2</v>
      </c>
      <c r="I1203" s="471">
        <v>15.5</v>
      </c>
      <c r="J1203" s="471">
        <f>M1203/K1203</f>
        <v>45.851999999999997</v>
      </c>
      <c r="K1203" s="255">
        <v>50</v>
      </c>
      <c r="L1203" s="471">
        <v>775</v>
      </c>
      <c r="M1203" s="471">
        <v>2292.6</v>
      </c>
      <c r="N1203" s="328"/>
    </row>
    <row r="1204" spans="2:14" ht="15" customHeight="1">
      <c r="B1204" s="515" t="s">
        <v>2205</v>
      </c>
      <c r="C1204" s="257" t="s">
        <v>2211</v>
      </c>
      <c r="D1204" s="238" t="s">
        <v>119</v>
      </c>
      <c r="E1204" s="606" t="s">
        <v>2210</v>
      </c>
      <c r="F1204" s="1120"/>
      <c r="G1204" s="967">
        <v>3.25</v>
      </c>
      <c r="H1204" s="255"/>
      <c r="I1204" s="471"/>
      <c r="J1204" s="471"/>
      <c r="K1204" s="255"/>
      <c r="L1204" s="471"/>
      <c r="M1204" s="471"/>
      <c r="N1204" s="328"/>
    </row>
    <row r="1205" spans="2:14" ht="15" customHeight="1" thickBot="1">
      <c r="C1205" s="422" t="s">
        <v>247</v>
      </c>
      <c r="E1205" s="242"/>
      <c r="F1205" s="80"/>
      <c r="G1205" s="243"/>
      <c r="H1205" s="160"/>
      <c r="I1205" s="160"/>
      <c r="J1205" s="160"/>
      <c r="K1205" s="160"/>
      <c r="L1205" s="160"/>
      <c r="M1205" s="160"/>
      <c r="N1205" s="80"/>
    </row>
    <row r="1206" spans="2:14" ht="32.1" customHeight="1" thickBot="1">
      <c r="C1206" s="63" t="s">
        <v>2212</v>
      </c>
      <c r="G1206" s="549"/>
      <c r="H1206" s="1133" t="s">
        <v>101</v>
      </c>
      <c r="I1206" s="1675"/>
      <c r="J1206" s="1676"/>
      <c r="K1206" s="1133" t="s">
        <v>102</v>
      </c>
      <c r="L1206" s="1675"/>
      <c r="M1206" s="1676"/>
      <c r="N1206" s="26"/>
    </row>
    <row r="1207" spans="2:14" ht="15" customHeight="1" thickBot="1">
      <c r="C1207" s="29" t="s">
        <v>103</v>
      </c>
      <c r="D1207" s="31" t="s">
        <v>104</v>
      </c>
      <c r="E1207" s="42" t="s">
        <v>105</v>
      </c>
      <c r="F1207" s="31" t="s">
        <v>106</v>
      </c>
      <c r="G1207" s="32" t="s">
        <v>107</v>
      </c>
      <c r="H1207" s="43" t="s">
        <v>108</v>
      </c>
      <c r="I1207" s="44" t="s">
        <v>109</v>
      </c>
      <c r="J1207" s="55" t="s">
        <v>110</v>
      </c>
      <c r="K1207" s="43" t="s">
        <v>111</v>
      </c>
      <c r="L1207" s="44" t="s">
        <v>109</v>
      </c>
      <c r="M1207" s="55" t="s">
        <v>110</v>
      </c>
      <c r="N1207" s="37"/>
    </row>
    <row r="1208" spans="2:14" ht="14.1" customHeight="1" thickBot="1">
      <c r="B1208" s="624" t="s">
        <v>112</v>
      </c>
      <c r="C1208" s="250" t="s">
        <v>2213</v>
      </c>
      <c r="D1208" s="1207" t="s">
        <v>284</v>
      </c>
      <c r="E1208" s="240" t="s">
        <v>2214</v>
      </c>
      <c r="F1208" s="1118" t="s">
        <v>109</v>
      </c>
      <c r="G1208" s="1151">
        <v>1.62</v>
      </c>
      <c r="H1208" s="1117">
        <v>7</v>
      </c>
      <c r="I1208" s="1128">
        <v>22.28</v>
      </c>
      <c r="J1208" s="1236">
        <v>86.72</v>
      </c>
      <c r="K1208" s="1117">
        <v>30</v>
      </c>
      <c r="L1208" s="1114">
        <v>668.44</v>
      </c>
      <c r="M1208" s="1116">
        <v>2601.69</v>
      </c>
      <c r="N1208" s="328"/>
    </row>
    <row r="1209" spans="2:14" ht="14.1" customHeight="1">
      <c r="B1209" s="605"/>
      <c r="C1209" s="200" t="s">
        <v>2215</v>
      </c>
      <c r="D1209" s="1208"/>
      <c r="E1209" s="880" t="s">
        <v>2216</v>
      </c>
      <c r="F1209" s="1119"/>
      <c r="G1209" s="1697"/>
      <c r="H1209" s="1686"/>
      <c r="I1209" s="1686"/>
      <c r="J1209" s="1739"/>
      <c r="K1209" s="1686"/>
      <c r="L1209" s="1687"/>
      <c r="M1209" s="1689"/>
      <c r="N1209" s="328"/>
    </row>
    <row r="1210" spans="2:14" ht="15" thickBot="1">
      <c r="B1210" s="605"/>
      <c r="C1210" s="252" t="s">
        <v>2217</v>
      </c>
      <c r="D1210" s="1209"/>
      <c r="E1210" s="1" t="s">
        <v>2218</v>
      </c>
      <c r="F1210" s="1120"/>
      <c r="G1210" s="1700"/>
      <c r="H1210" s="1690"/>
      <c r="I1210" s="1690"/>
      <c r="J1210" s="1738"/>
      <c r="K1210" s="1690"/>
      <c r="L1210" s="1692"/>
      <c r="M1210" s="1694"/>
      <c r="N1210" s="328"/>
    </row>
    <row r="1211" spans="2:14" ht="14.1" customHeight="1" thickBot="1">
      <c r="B1211" s="605"/>
      <c r="C1211" s="257" t="s">
        <v>2219</v>
      </c>
      <c r="D1211" s="616" t="s">
        <v>114</v>
      </c>
      <c r="E1211" s="267" t="s">
        <v>2220</v>
      </c>
      <c r="F1211" s="255" t="s">
        <v>109</v>
      </c>
      <c r="G1211" s="578">
        <v>1.62</v>
      </c>
      <c r="H1211" s="324">
        <v>10</v>
      </c>
      <c r="I1211" s="325">
        <v>20.34</v>
      </c>
      <c r="J1211" s="617">
        <v>79.48</v>
      </c>
      <c r="K1211" s="324">
        <v>36</v>
      </c>
      <c r="L1211" s="325">
        <v>732.24</v>
      </c>
      <c r="M1211" s="326">
        <v>2861.28</v>
      </c>
      <c r="N1211" s="328"/>
    </row>
    <row r="1212" spans="2:14" ht="15" customHeight="1" thickBot="1">
      <c r="C1212" s="422" t="s">
        <v>247</v>
      </c>
      <c r="D1212" s="243"/>
      <c r="E1212" s="201"/>
      <c r="F1212" s="323"/>
      <c r="G1212" s="323"/>
      <c r="H1212" s="243"/>
      <c r="I1212" s="328"/>
      <c r="J1212" s="328"/>
      <c r="K1212" s="243"/>
      <c r="L1212" s="328"/>
      <c r="M1212" s="328"/>
      <c r="N1212" s="328"/>
    </row>
    <row r="1213" spans="2:14" ht="32.1" customHeight="1" thickBot="1">
      <c r="C1213" s="63" t="s">
        <v>2221</v>
      </c>
      <c r="G1213" s="549"/>
      <c r="H1213" s="1133" t="s">
        <v>101</v>
      </c>
      <c r="I1213" s="1675"/>
      <c r="J1213" s="1676"/>
      <c r="K1213" s="1133" t="s">
        <v>102</v>
      </c>
      <c r="L1213" s="1675"/>
      <c r="M1213" s="1676"/>
      <c r="N1213" s="26"/>
    </row>
    <row r="1214" spans="2:14" ht="15" customHeight="1" thickBot="1">
      <c r="C1214" s="29" t="s">
        <v>103</v>
      </c>
      <c r="D1214" s="31" t="s">
        <v>104</v>
      </c>
      <c r="E1214" s="42" t="s">
        <v>105</v>
      </c>
      <c r="F1214" s="31" t="s">
        <v>106</v>
      </c>
      <c r="G1214" s="32" t="s">
        <v>107</v>
      </c>
      <c r="H1214" s="43" t="s">
        <v>108</v>
      </c>
      <c r="I1214" s="44" t="s">
        <v>109</v>
      </c>
      <c r="J1214" s="55" t="s">
        <v>110</v>
      </c>
      <c r="K1214" s="43" t="s">
        <v>111</v>
      </c>
      <c r="L1214" s="44" t="s">
        <v>109</v>
      </c>
      <c r="M1214" s="55" t="s">
        <v>110</v>
      </c>
      <c r="N1214" s="37"/>
    </row>
    <row r="1215" spans="2:14" ht="15" thickBot="1">
      <c r="B1215" s="21" t="s">
        <v>112</v>
      </c>
      <c r="C1215" s="237" t="s">
        <v>2222</v>
      </c>
      <c r="D1215" s="1118" t="s">
        <v>114</v>
      </c>
      <c r="E1215" s="202" t="s">
        <v>2223</v>
      </c>
      <c r="F1215" s="1118" t="s">
        <v>109</v>
      </c>
      <c r="G1215" s="1253">
        <v>2.04</v>
      </c>
      <c r="H1215" s="1112">
        <v>10</v>
      </c>
      <c r="I1215" s="1159">
        <v>18.940000000000001</v>
      </c>
      <c r="J1215" s="1136">
        <v>75.561199999999999</v>
      </c>
      <c r="K1215" s="1112">
        <v>32</v>
      </c>
      <c r="L1215" s="1113">
        <v>606.22</v>
      </c>
      <c r="M1215" s="1136">
        <v>2417.92</v>
      </c>
      <c r="N1215" s="355"/>
    </row>
    <row r="1216" spans="2:14">
      <c r="C1216" s="295" t="s">
        <v>2224</v>
      </c>
      <c r="D1216" s="1119"/>
      <c r="E1216" s="203" t="s">
        <v>2225</v>
      </c>
      <c r="F1216" s="1119"/>
      <c r="G1216" s="1697"/>
      <c r="H1216" s="1686"/>
      <c r="I1216" s="1686"/>
      <c r="J1216" s="1689"/>
      <c r="K1216" s="1686"/>
      <c r="L1216" s="1687"/>
      <c r="M1216" s="1689"/>
      <c r="N1216" s="355"/>
    </row>
    <row r="1217" spans="3:14">
      <c r="C1217" s="295" t="s">
        <v>2226</v>
      </c>
      <c r="D1217" s="1119"/>
      <c r="E1217" s="203" t="s">
        <v>2227</v>
      </c>
      <c r="F1217" s="1119"/>
      <c r="G1217" s="1697"/>
      <c r="H1217" s="1686"/>
      <c r="I1217" s="1686"/>
      <c r="J1217" s="1689"/>
      <c r="K1217" s="1686"/>
      <c r="L1217" s="1687"/>
      <c r="M1217" s="1689"/>
      <c r="N1217" s="355"/>
    </row>
    <row r="1218" spans="3:14">
      <c r="C1218" s="295" t="s">
        <v>2228</v>
      </c>
      <c r="D1218" s="1119"/>
      <c r="E1218" s="203" t="s">
        <v>2229</v>
      </c>
      <c r="F1218" s="1119"/>
      <c r="G1218" s="1697"/>
      <c r="H1218" s="1686"/>
      <c r="I1218" s="1686"/>
      <c r="J1218" s="1689"/>
      <c r="K1218" s="1686"/>
      <c r="L1218" s="1687"/>
      <c r="M1218" s="1689"/>
      <c r="N1218" s="355"/>
    </row>
    <row r="1219" spans="3:14" ht="15" thickBot="1">
      <c r="C1219" s="297" t="s">
        <v>2230</v>
      </c>
      <c r="D1219" s="1120"/>
      <c r="E1219" s="204" t="s">
        <v>2231</v>
      </c>
      <c r="F1219" s="1120"/>
      <c r="G1219" s="1700"/>
      <c r="H1219" s="1686"/>
      <c r="I1219" s="1686"/>
      <c r="J1219" s="1689"/>
      <c r="K1219" s="1686"/>
      <c r="L1219" s="1687"/>
      <c r="M1219" s="1689"/>
      <c r="N1219" s="355"/>
    </row>
    <row r="1220" spans="3:14" ht="15" thickBot="1">
      <c r="C1220" s="237" t="s">
        <v>2232</v>
      </c>
      <c r="D1220" s="1118" t="s">
        <v>114</v>
      </c>
      <c r="E1220" s="202" t="s">
        <v>2233</v>
      </c>
      <c r="F1220" s="1118" t="s">
        <v>109</v>
      </c>
      <c r="G1220" s="1253">
        <v>2.4</v>
      </c>
      <c r="H1220" s="1686"/>
      <c r="I1220" s="1686"/>
      <c r="J1220" s="1689"/>
      <c r="K1220" s="1686"/>
      <c r="L1220" s="1687"/>
      <c r="M1220" s="1689"/>
      <c r="N1220" s="355"/>
    </row>
    <row r="1221" spans="3:14">
      <c r="C1221" s="295" t="s">
        <v>2234</v>
      </c>
      <c r="D1221" s="1119"/>
      <c r="E1221" s="203" t="s">
        <v>2235</v>
      </c>
      <c r="F1221" s="1119"/>
      <c r="G1221" s="1697"/>
      <c r="H1221" s="1686"/>
      <c r="I1221" s="1686"/>
      <c r="J1221" s="1689"/>
      <c r="K1221" s="1686"/>
      <c r="L1221" s="1687"/>
      <c r="M1221" s="1689"/>
      <c r="N1221" s="355"/>
    </row>
    <row r="1222" spans="3:14">
      <c r="C1222" s="295" t="s">
        <v>2236</v>
      </c>
      <c r="D1222" s="1119"/>
      <c r="E1222" s="203" t="s">
        <v>2237</v>
      </c>
      <c r="F1222" s="1119"/>
      <c r="G1222" s="1697"/>
      <c r="H1222" s="1686"/>
      <c r="I1222" s="1686"/>
      <c r="J1222" s="1689"/>
      <c r="K1222" s="1686"/>
      <c r="L1222" s="1687"/>
      <c r="M1222" s="1689"/>
      <c r="N1222" s="355"/>
    </row>
    <row r="1223" spans="3:14">
      <c r="C1223" s="295" t="s">
        <v>2238</v>
      </c>
      <c r="D1223" s="1119"/>
      <c r="E1223" s="203" t="s">
        <v>2239</v>
      </c>
      <c r="F1223" s="1119"/>
      <c r="G1223" s="1697"/>
      <c r="H1223" s="1686"/>
      <c r="I1223" s="1686"/>
      <c r="J1223" s="1689"/>
      <c r="K1223" s="1686"/>
      <c r="L1223" s="1687"/>
      <c r="M1223" s="1689"/>
      <c r="N1223" s="355"/>
    </row>
    <row r="1224" spans="3:14" ht="15" thickBot="1">
      <c r="C1224" s="297" t="s">
        <v>2240</v>
      </c>
      <c r="D1224" s="1120"/>
      <c r="E1224" s="204" t="s">
        <v>2241</v>
      </c>
      <c r="F1224" s="1120"/>
      <c r="G1224" s="1700"/>
      <c r="H1224" s="1690"/>
      <c r="I1224" s="1690"/>
      <c r="J1224" s="1694"/>
      <c r="K1224" s="1690"/>
      <c r="L1224" s="1692"/>
      <c r="M1224" s="1694"/>
      <c r="N1224" s="355"/>
    </row>
    <row r="1225" spans="3:14" ht="15" thickBot="1">
      <c r="C1225" s="212" t="s">
        <v>2242</v>
      </c>
      <c r="D1225" s="1118" t="s">
        <v>259</v>
      </c>
      <c r="E1225" s="212" t="s">
        <v>2243</v>
      </c>
      <c r="F1225" s="1118" t="s">
        <v>109</v>
      </c>
      <c r="G1225" s="1295">
        <v>2.1</v>
      </c>
      <c r="H1225" s="1112">
        <v>6</v>
      </c>
      <c r="I1225" s="1159">
        <v>23.25</v>
      </c>
      <c r="J1225" s="1136">
        <v>88.65</v>
      </c>
      <c r="K1225" s="1112">
        <v>30</v>
      </c>
      <c r="L1225" s="1113">
        <v>697.5</v>
      </c>
      <c r="M1225" s="1136">
        <v>2659.5</v>
      </c>
      <c r="N1225" s="355"/>
    </row>
    <row r="1226" spans="3:14">
      <c r="C1226" s="206" t="s">
        <v>2244</v>
      </c>
      <c r="D1226" s="1119"/>
      <c r="E1226" s="206" t="s">
        <v>2245</v>
      </c>
      <c r="F1226" s="1119"/>
      <c r="G1226" s="1697"/>
      <c r="H1226" s="1686"/>
      <c r="I1226" s="1686"/>
      <c r="J1226" s="1689"/>
      <c r="K1226" s="1686"/>
      <c r="L1226" s="1687"/>
      <c r="M1226" s="1689"/>
      <c r="N1226" s="355"/>
    </row>
    <row r="1227" spans="3:14">
      <c r="C1227" s="206" t="s">
        <v>2246</v>
      </c>
      <c r="D1227" s="1119"/>
      <c r="E1227" s="206" t="s">
        <v>2247</v>
      </c>
      <c r="F1227" s="1119"/>
      <c r="G1227" s="1697"/>
      <c r="H1227" s="1686"/>
      <c r="I1227" s="1686"/>
      <c r="J1227" s="1689"/>
      <c r="K1227" s="1686"/>
      <c r="L1227" s="1687"/>
      <c r="M1227" s="1689"/>
      <c r="N1227" s="355"/>
    </row>
    <row r="1228" spans="3:14">
      <c r="C1228" s="206" t="s">
        <v>2248</v>
      </c>
      <c r="D1228" s="1119"/>
      <c r="E1228" s="206" t="s">
        <v>2249</v>
      </c>
      <c r="F1228" s="1119"/>
      <c r="G1228" s="1697"/>
      <c r="H1228" s="1686"/>
      <c r="I1228" s="1686"/>
      <c r="J1228" s="1689"/>
      <c r="K1228" s="1686"/>
      <c r="L1228" s="1687"/>
      <c r="M1228" s="1689"/>
      <c r="N1228" s="355"/>
    </row>
    <row r="1229" spans="3:14" ht="15" thickBot="1">
      <c r="C1229" s="208" t="s">
        <v>2250</v>
      </c>
      <c r="D1229" s="1120"/>
      <c r="E1229" s="208" t="s">
        <v>2251</v>
      </c>
      <c r="F1229" s="1120"/>
      <c r="G1229" s="1700"/>
      <c r="H1229" s="1690"/>
      <c r="I1229" s="1690"/>
      <c r="J1229" s="1694"/>
      <c r="K1229" s="1690"/>
      <c r="L1229" s="1692"/>
      <c r="M1229" s="1694"/>
      <c r="N1229" s="355"/>
    </row>
    <row r="1230" spans="3:14" ht="15" thickBot="1">
      <c r="C1230" s="205" t="s">
        <v>2252</v>
      </c>
      <c r="D1230" s="1118" t="s">
        <v>259</v>
      </c>
      <c r="E1230" s="202" t="s">
        <v>2253</v>
      </c>
      <c r="F1230" s="1118" t="s">
        <v>109</v>
      </c>
      <c r="G1230" s="1253">
        <v>2.52</v>
      </c>
      <c r="H1230" s="1112">
        <v>5</v>
      </c>
      <c r="I1230" s="1159">
        <v>19.05</v>
      </c>
      <c r="J1230" s="1136">
        <v>78.401899999999998</v>
      </c>
      <c r="K1230" s="1112">
        <v>30</v>
      </c>
      <c r="L1230" s="1113">
        <v>571.55999999999995</v>
      </c>
      <c r="M1230" s="1136">
        <v>2352</v>
      </c>
      <c r="N1230" s="355"/>
    </row>
    <row r="1231" spans="3:14">
      <c r="C1231" s="206" t="s">
        <v>2254</v>
      </c>
      <c r="D1231" s="1119"/>
      <c r="E1231" s="203" t="s">
        <v>2255</v>
      </c>
      <c r="F1231" s="1119"/>
      <c r="G1231" s="1697"/>
      <c r="H1231" s="1686"/>
      <c r="I1231" s="1686"/>
      <c r="J1231" s="1689"/>
      <c r="K1231" s="1686"/>
      <c r="L1231" s="1687"/>
      <c r="M1231" s="1689"/>
      <c r="N1231" s="355"/>
    </row>
    <row r="1232" spans="3:14">
      <c r="C1232" s="206" t="s">
        <v>2256</v>
      </c>
      <c r="D1232" s="1119"/>
      <c r="E1232" s="203" t="s">
        <v>2257</v>
      </c>
      <c r="F1232" s="1119"/>
      <c r="G1232" s="1697"/>
      <c r="H1232" s="1686"/>
      <c r="I1232" s="1686"/>
      <c r="J1232" s="1689"/>
      <c r="K1232" s="1686"/>
      <c r="L1232" s="1687"/>
      <c r="M1232" s="1689"/>
      <c r="N1232" s="355"/>
    </row>
    <row r="1233" spans="2:14">
      <c r="C1233" s="206" t="s">
        <v>2258</v>
      </c>
      <c r="D1233" s="1119"/>
      <c r="E1233" s="203" t="s">
        <v>2259</v>
      </c>
      <c r="F1233" s="1119"/>
      <c r="G1233" s="1697"/>
      <c r="H1233" s="1686"/>
      <c r="I1233" s="1686"/>
      <c r="J1233" s="1689"/>
      <c r="K1233" s="1686"/>
      <c r="L1233" s="1687"/>
      <c r="M1233" s="1689"/>
      <c r="N1233" s="355"/>
    </row>
    <row r="1234" spans="2:14" ht="15" thickBot="1">
      <c r="C1234" s="210" t="s">
        <v>2260</v>
      </c>
      <c r="D1234" s="1120"/>
      <c r="E1234" s="211" t="s">
        <v>2261</v>
      </c>
      <c r="F1234" s="1120"/>
      <c r="G1234" s="1700"/>
      <c r="H1234" s="1690"/>
      <c r="I1234" s="1690"/>
      <c r="J1234" s="1694"/>
      <c r="K1234" s="1690"/>
      <c r="L1234" s="1692"/>
      <c r="M1234" s="1694"/>
      <c r="N1234" s="355"/>
    </row>
    <row r="1235" spans="2:14" ht="15" thickBot="1">
      <c r="C1235" s="205" t="s">
        <v>2262</v>
      </c>
      <c r="D1235" s="1118" t="s">
        <v>284</v>
      </c>
      <c r="E1235" s="205" t="s">
        <v>2263</v>
      </c>
      <c r="F1235" s="1143" t="s">
        <v>109</v>
      </c>
      <c r="G1235" s="1253">
        <v>1.8</v>
      </c>
      <c r="H1235" s="1112">
        <v>7</v>
      </c>
      <c r="I1235" s="1159">
        <v>22.3</v>
      </c>
      <c r="J1235" s="1136">
        <f>M1235/K1235</f>
        <v>87.542083333333338</v>
      </c>
      <c r="K1235" s="1112">
        <v>24</v>
      </c>
      <c r="L1235" s="1113">
        <v>535.15</v>
      </c>
      <c r="M1235" s="1136">
        <v>2101.0100000000002</v>
      </c>
      <c r="N1235" s="355"/>
    </row>
    <row r="1236" spans="2:14">
      <c r="C1236" s="206" t="s">
        <v>2264</v>
      </c>
      <c r="D1236" s="1119"/>
      <c r="E1236" s="206" t="s">
        <v>2265</v>
      </c>
      <c r="F1236" s="1144"/>
      <c r="G1236" s="1697"/>
      <c r="H1236" s="1686"/>
      <c r="I1236" s="1686"/>
      <c r="J1236" s="1689"/>
      <c r="K1236" s="1686"/>
      <c r="L1236" s="1687"/>
      <c r="M1236" s="1689"/>
      <c r="N1236" s="355"/>
    </row>
    <row r="1237" spans="2:14" ht="15" thickBot="1">
      <c r="C1237" s="208" t="s">
        <v>2266</v>
      </c>
      <c r="D1237" s="1120"/>
      <c r="E1237" s="208" t="s">
        <v>2267</v>
      </c>
      <c r="F1237" s="1169"/>
      <c r="G1237" s="1700"/>
      <c r="H1237" s="1690"/>
      <c r="I1237" s="1690"/>
      <c r="J1237" s="1694"/>
      <c r="K1237" s="1690"/>
      <c r="L1237" s="1692"/>
      <c r="M1237" s="1694"/>
      <c r="N1237" s="355"/>
    </row>
    <row r="1238" spans="2:14" ht="15" thickBot="1">
      <c r="C1238" s="205" t="s">
        <v>2268</v>
      </c>
      <c r="D1238" s="1162" t="s">
        <v>377</v>
      </c>
      <c r="E1238" s="213" t="s">
        <v>2269</v>
      </c>
      <c r="F1238" s="1118" t="s">
        <v>109</v>
      </c>
      <c r="G1238" s="1295">
        <v>2.4</v>
      </c>
      <c r="H1238" s="1502">
        <v>3</v>
      </c>
      <c r="I1238" s="1305">
        <v>25.87</v>
      </c>
      <c r="J1238" s="1182">
        <v>87.7</v>
      </c>
      <c r="K1238" s="1305">
        <v>18</v>
      </c>
      <c r="L1238" s="1173">
        <v>465.6</v>
      </c>
      <c r="M1238" s="1182">
        <v>1578.6</v>
      </c>
      <c r="N1238" s="355"/>
    </row>
    <row r="1239" spans="2:14">
      <c r="C1239" s="210" t="s">
        <v>2270</v>
      </c>
      <c r="D1239" s="1164"/>
      <c r="E1239" s="206" t="s">
        <v>2271</v>
      </c>
      <c r="F1239" s="1119"/>
      <c r="G1239" s="1697"/>
      <c r="H1239" s="1730"/>
      <c r="I1239" s="1711"/>
      <c r="J1239" s="1713"/>
      <c r="K1239" s="1711"/>
      <c r="L1239" s="1722"/>
      <c r="M1239" s="1713"/>
      <c r="N1239" s="355"/>
    </row>
    <row r="1240" spans="2:14">
      <c r="C1240" s="206" t="s">
        <v>2272</v>
      </c>
      <c r="D1240" s="1164"/>
      <c r="E1240" s="209" t="s">
        <v>2273</v>
      </c>
      <c r="F1240" s="1119"/>
      <c r="G1240" s="1697"/>
      <c r="H1240" s="1730"/>
      <c r="I1240" s="1711"/>
      <c r="J1240" s="1713"/>
      <c r="K1240" s="1711"/>
      <c r="L1240" s="1722"/>
      <c r="M1240" s="1713"/>
      <c r="N1240" s="355"/>
    </row>
    <row r="1241" spans="2:14">
      <c r="C1241" s="206" t="s">
        <v>2274</v>
      </c>
      <c r="D1241" s="1164"/>
      <c r="E1241" s="206" t="s">
        <v>2275</v>
      </c>
      <c r="F1241" s="1119"/>
      <c r="G1241" s="1697"/>
      <c r="H1241" s="1730"/>
      <c r="I1241" s="1711"/>
      <c r="J1241" s="1713"/>
      <c r="K1241" s="1711"/>
      <c r="L1241" s="1722"/>
      <c r="M1241" s="1713"/>
      <c r="N1241" s="355"/>
    </row>
    <row r="1242" spans="2:14" ht="15" thickBot="1">
      <c r="C1242" s="208" t="s">
        <v>2276</v>
      </c>
      <c r="D1242" s="1163"/>
      <c r="E1242" s="210" t="s">
        <v>2277</v>
      </c>
      <c r="F1242" s="1119"/>
      <c r="G1242" s="1700"/>
      <c r="H1242" s="1730"/>
      <c r="I1242" s="1711"/>
      <c r="J1242" s="1713"/>
      <c r="K1242" s="1711"/>
      <c r="L1242" s="1722"/>
      <c r="M1242" s="1713"/>
      <c r="N1242" s="355"/>
    </row>
    <row r="1243" spans="2:14" ht="15" thickBot="1">
      <c r="B1243" s="517"/>
      <c r="C1243" s="206" t="s">
        <v>2278</v>
      </c>
      <c r="D1243" s="1162" t="s">
        <v>377</v>
      </c>
      <c r="E1243" s="203" t="s">
        <v>2279</v>
      </c>
      <c r="F1243" s="1118" t="s">
        <v>109</v>
      </c>
      <c r="G1243" s="1295">
        <v>3</v>
      </c>
      <c r="H1243" s="1730"/>
      <c r="I1243" s="1711"/>
      <c r="J1243" s="1713"/>
      <c r="K1243" s="1711"/>
      <c r="L1243" s="1722"/>
      <c r="M1243" s="1713"/>
      <c r="N1243" s="355"/>
    </row>
    <row r="1244" spans="2:14">
      <c r="B1244" s="517"/>
      <c r="C1244" s="210" t="s">
        <v>2280</v>
      </c>
      <c r="D1244" s="1164"/>
      <c r="E1244" s="211" t="s">
        <v>2281</v>
      </c>
      <c r="F1244" s="1119"/>
      <c r="G1244" s="1697"/>
      <c r="H1244" s="1730"/>
      <c r="I1244" s="1711"/>
      <c r="J1244" s="1713"/>
      <c r="K1244" s="1711"/>
      <c r="L1244" s="1722"/>
      <c r="M1244" s="1713"/>
      <c r="N1244" s="355"/>
    </row>
    <row r="1245" spans="2:14">
      <c r="B1245" s="517"/>
      <c r="C1245" s="206" t="s">
        <v>2282</v>
      </c>
      <c r="D1245" s="1164"/>
      <c r="E1245" s="206" t="s">
        <v>2283</v>
      </c>
      <c r="F1245" s="1119"/>
      <c r="G1245" s="1697"/>
      <c r="H1245" s="1730"/>
      <c r="I1245" s="1711"/>
      <c r="J1245" s="1713"/>
      <c r="K1245" s="1711"/>
      <c r="L1245" s="1722"/>
      <c r="M1245" s="1713"/>
      <c r="N1245" s="355"/>
    </row>
    <row r="1246" spans="2:14">
      <c r="B1246" s="517"/>
      <c r="C1246" s="212" t="s">
        <v>2284</v>
      </c>
      <c r="D1246" s="1164"/>
      <c r="E1246" s="213" t="s">
        <v>2285</v>
      </c>
      <c r="F1246" s="1119"/>
      <c r="G1246" s="1697"/>
      <c r="H1246" s="1730"/>
      <c r="I1246" s="1711"/>
      <c r="J1246" s="1713"/>
      <c r="K1246" s="1711"/>
      <c r="L1246" s="1722"/>
      <c r="M1246" s="1713"/>
      <c r="N1246" s="355"/>
    </row>
    <row r="1247" spans="2:14" ht="15" thickBot="1">
      <c r="B1247" s="517"/>
      <c r="C1247" s="210" t="s">
        <v>2286</v>
      </c>
      <c r="D1247" s="1163"/>
      <c r="E1247" s="208" t="s">
        <v>2287</v>
      </c>
      <c r="F1247" s="1120"/>
      <c r="G1247" s="1700"/>
      <c r="H1247" s="1730"/>
      <c r="I1247" s="1711"/>
      <c r="J1247" s="1713"/>
      <c r="K1247" s="1711"/>
      <c r="L1247" s="1722"/>
      <c r="M1247" s="1713"/>
      <c r="N1247" s="355"/>
    </row>
    <row r="1248" spans="2:14" ht="15" thickBot="1">
      <c r="B1248" s="517"/>
      <c r="C1248" s="237" t="s">
        <v>2288</v>
      </c>
      <c r="D1248" s="1162" t="s">
        <v>119</v>
      </c>
      <c r="E1248" s="213" t="s">
        <v>2289</v>
      </c>
      <c r="F1248" s="1118" t="s">
        <v>109</v>
      </c>
      <c r="G1248" s="1295">
        <v>2.7</v>
      </c>
      <c r="H1248" s="1216">
        <v>3</v>
      </c>
      <c r="I1248" s="1216">
        <v>22.96</v>
      </c>
      <c r="J1248" s="1145">
        <v>84.14</v>
      </c>
      <c r="K1248" s="1216">
        <v>27</v>
      </c>
      <c r="L1248" s="1351">
        <v>619.92999999999995</v>
      </c>
      <c r="M1248" s="1145">
        <v>2271.81</v>
      </c>
      <c r="N1248" s="355"/>
    </row>
    <row r="1249" spans="2:14">
      <c r="B1249" s="517"/>
      <c r="C1249" s="296" t="s">
        <v>2290</v>
      </c>
      <c r="D1249" s="1164"/>
      <c r="E1249" s="206" t="s">
        <v>2291</v>
      </c>
      <c r="F1249" s="1119"/>
      <c r="G1249" s="1697"/>
      <c r="H1249" s="1711"/>
      <c r="I1249" s="1711"/>
      <c r="J1249" s="1713"/>
      <c r="K1249" s="1711"/>
      <c r="L1249" s="1722"/>
      <c r="M1249" s="1713"/>
      <c r="N1249" s="355"/>
    </row>
    <row r="1250" spans="2:14">
      <c r="B1250" s="517"/>
      <c r="C1250" s="295" t="s">
        <v>2292</v>
      </c>
      <c r="D1250" s="1164"/>
      <c r="E1250" s="209" t="s">
        <v>2293</v>
      </c>
      <c r="F1250" s="1119"/>
      <c r="G1250" s="1697"/>
      <c r="H1250" s="1711"/>
      <c r="I1250" s="1711"/>
      <c r="J1250" s="1713"/>
      <c r="K1250" s="1711"/>
      <c r="L1250" s="1722"/>
      <c r="M1250" s="1713"/>
      <c r="N1250" s="355"/>
    </row>
    <row r="1251" spans="2:14">
      <c r="B1251" s="517"/>
      <c r="C1251" s="295" t="s">
        <v>2294</v>
      </c>
      <c r="D1251" s="1164"/>
      <c r="E1251" s="206" t="s">
        <v>2295</v>
      </c>
      <c r="F1251" s="1119"/>
      <c r="G1251" s="1697"/>
      <c r="H1251" s="1711"/>
      <c r="I1251" s="1711"/>
      <c r="J1251" s="1713"/>
      <c r="K1251" s="1711"/>
      <c r="L1251" s="1722"/>
      <c r="M1251" s="1713"/>
      <c r="N1251" s="355"/>
    </row>
    <row r="1252" spans="2:14" ht="15" thickBot="1">
      <c r="B1252" s="517"/>
      <c r="C1252" s="297" t="s">
        <v>2296</v>
      </c>
      <c r="D1252" s="1164"/>
      <c r="E1252" s="208" t="s">
        <v>2297</v>
      </c>
      <c r="F1252" s="1120"/>
      <c r="G1252" s="1700"/>
      <c r="H1252" s="1711"/>
      <c r="I1252" s="1711"/>
      <c r="J1252" s="1713"/>
      <c r="K1252" s="1711"/>
      <c r="L1252" s="1722"/>
      <c r="M1252" s="1713"/>
      <c r="N1252" s="355"/>
    </row>
    <row r="1253" spans="2:14" ht="15" thickBot="1">
      <c r="B1253" s="517"/>
      <c r="C1253" s="237" t="s">
        <v>2298</v>
      </c>
      <c r="D1253" s="1164"/>
      <c r="E1253" s="205" t="s">
        <v>2299</v>
      </c>
      <c r="F1253" s="1118" t="s">
        <v>109</v>
      </c>
      <c r="G1253" s="1295">
        <v>3</v>
      </c>
      <c r="H1253" s="1711"/>
      <c r="I1253" s="1711"/>
      <c r="J1253" s="1713"/>
      <c r="K1253" s="1711"/>
      <c r="L1253" s="1722"/>
      <c r="M1253" s="1713"/>
      <c r="N1253" s="355"/>
    </row>
    <row r="1254" spans="2:14">
      <c r="B1254" s="517"/>
      <c r="C1254" s="296" t="s">
        <v>2300</v>
      </c>
      <c r="D1254" s="1164"/>
      <c r="E1254" s="206" t="s">
        <v>2301</v>
      </c>
      <c r="F1254" s="1119"/>
      <c r="G1254" s="1697"/>
      <c r="H1254" s="1711"/>
      <c r="I1254" s="1711"/>
      <c r="J1254" s="1713"/>
      <c r="K1254" s="1711"/>
      <c r="L1254" s="1722"/>
      <c r="M1254" s="1713"/>
      <c r="N1254" s="355"/>
    </row>
    <row r="1255" spans="2:14">
      <c r="B1255" s="517"/>
      <c r="C1255" s="295" t="s">
        <v>2302</v>
      </c>
      <c r="D1255" s="1164"/>
      <c r="E1255" s="207" t="s">
        <v>2303</v>
      </c>
      <c r="F1255" s="1119"/>
      <c r="G1255" s="1697"/>
      <c r="H1255" s="1711"/>
      <c r="I1255" s="1711"/>
      <c r="J1255" s="1713"/>
      <c r="K1255" s="1711"/>
      <c r="L1255" s="1722"/>
      <c r="M1255" s="1713"/>
      <c r="N1255" s="355"/>
    </row>
    <row r="1256" spans="2:14">
      <c r="B1256" s="517"/>
      <c r="C1256" s="295" t="s">
        <v>2304</v>
      </c>
      <c r="D1256" s="1164"/>
      <c r="E1256" s="206" t="s">
        <v>2305</v>
      </c>
      <c r="F1256" s="1119"/>
      <c r="G1256" s="1697"/>
      <c r="H1256" s="1711"/>
      <c r="I1256" s="1711"/>
      <c r="J1256" s="1713"/>
      <c r="K1256" s="1711"/>
      <c r="L1256" s="1722"/>
      <c r="M1256" s="1713"/>
      <c r="N1256" s="355"/>
    </row>
    <row r="1257" spans="2:14" ht="15" thickBot="1">
      <c r="B1257" s="517"/>
      <c r="C1257" s="297" t="s">
        <v>2306</v>
      </c>
      <c r="D1257" s="1163"/>
      <c r="E1257" s="208" t="s">
        <v>2307</v>
      </c>
      <c r="F1257" s="1120"/>
      <c r="G1257" s="1700"/>
      <c r="H1257" s="1712"/>
      <c r="I1257" s="1712"/>
      <c r="J1257" s="1715"/>
      <c r="K1257" s="1712"/>
      <c r="L1257" s="1714"/>
      <c r="M1257" s="1715"/>
      <c r="N1257" s="355"/>
    </row>
    <row r="1258" spans="2:14" ht="15" thickBot="1">
      <c r="B1258" s="517"/>
      <c r="C1258" s="882" t="s">
        <v>247</v>
      </c>
      <c r="D1258" s="320"/>
      <c r="E1258" s="209"/>
      <c r="F1258" s="243"/>
      <c r="G1258" s="583"/>
      <c r="H1258" s="320"/>
      <c r="I1258" s="355"/>
      <c r="J1258" s="355"/>
      <c r="K1258" s="320"/>
      <c r="L1258" s="355"/>
      <c r="M1258" s="355"/>
      <c r="N1258" s="355"/>
    </row>
    <row r="1259" spans="2:14" ht="31.5" customHeight="1" thickBot="1">
      <c r="B1259" s="517"/>
      <c r="C1259" s="63" t="s">
        <v>2221</v>
      </c>
      <c r="G1259" s="549"/>
      <c r="H1259" s="1133" t="s">
        <v>101</v>
      </c>
      <c r="I1259" s="1675"/>
      <c r="J1259" s="1676"/>
      <c r="K1259" s="1133" t="s">
        <v>102</v>
      </c>
      <c r="L1259" s="1675"/>
      <c r="M1259" s="1676"/>
      <c r="N1259" s="26"/>
    </row>
    <row r="1260" spans="2:14" ht="15" customHeight="1" thickBot="1">
      <c r="B1260" s="517"/>
      <c r="C1260" s="214" t="s">
        <v>103</v>
      </c>
      <c r="D1260" s="31" t="s">
        <v>104</v>
      </c>
      <c r="E1260" s="42" t="s">
        <v>105</v>
      </c>
      <c r="F1260" s="31" t="s">
        <v>106</v>
      </c>
      <c r="G1260" s="32" t="s">
        <v>107</v>
      </c>
      <c r="H1260" s="43" t="s">
        <v>108</v>
      </c>
      <c r="I1260" s="44" t="s">
        <v>109</v>
      </c>
      <c r="J1260" s="55" t="s">
        <v>110</v>
      </c>
      <c r="K1260" s="43" t="s">
        <v>111</v>
      </c>
      <c r="L1260" s="44" t="s">
        <v>109</v>
      </c>
      <c r="M1260" s="55" t="s">
        <v>110</v>
      </c>
      <c r="N1260" s="37"/>
    </row>
    <row r="1261" spans="2:14" ht="15" thickBot="1">
      <c r="B1261" s="518" t="s">
        <v>112</v>
      </c>
      <c r="C1261" s="170" t="s">
        <v>2308</v>
      </c>
      <c r="D1261" s="1162" t="s">
        <v>178</v>
      </c>
      <c r="E1261" s="237" t="s">
        <v>2309</v>
      </c>
      <c r="F1261" s="1118" t="s">
        <v>109</v>
      </c>
      <c r="G1261" s="1295">
        <v>4.8</v>
      </c>
      <c r="H1261" s="1112">
        <v>46</v>
      </c>
      <c r="I1261" s="1159">
        <v>10.979200000000001</v>
      </c>
      <c r="J1261" s="1116">
        <v>38.088099999999997</v>
      </c>
      <c r="K1261" s="1112">
        <v>62</v>
      </c>
      <c r="L1261" s="1113">
        <v>680.71</v>
      </c>
      <c r="M1261" s="1136">
        <v>2361.46</v>
      </c>
      <c r="N1261" s="355"/>
    </row>
    <row r="1262" spans="2:14">
      <c r="B1262" s="518"/>
      <c r="C1262" s="224" t="s">
        <v>2310</v>
      </c>
      <c r="D1262" s="1164"/>
      <c r="E1262" s="296" t="s">
        <v>2311</v>
      </c>
      <c r="F1262" s="1119"/>
      <c r="G1262" s="1697"/>
      <c r="H1262" s="1686"/>
      <c r="I1262" s="1686"/>
      <c r="J1262" s="1689"/>
      <c r="K1262" s="1686"/>
      <c r="L1262" s="1687"/>
      <c r="M1262" s="1689"/>
      <c r="N1262" s="355"/>
    </row>
    <row r="1263" spans="2:14">
      <c r="B1263" s="517"/>
      <c r="C1263" s="224" t="s">
        <v>2312</v>
      </c>
      <c r="D1263" s="1164"/>
      <c r="E1263" s="295" t="s">
        <v>2313</v>
      </c>
      <c r="F1263" s="1119"/>
      <c r="G1263" s="1697"/>
      <c r="H1263" s="1686"/>
      <c r="I1263" s="1686"/>
      <c r="J1263" s="1689"/>
      <c r="K1263" s="1686"/>
      <c r="L1263" s="1687"/>
      <c r="M1263" s="1689"/>
      <c r="N1263" s="355"/>
    </row>
    <row r="1264" spans="2:14" ht="15" thickBot="1">
      <c r="B1264" s="517"/>
      <c r="C1264" s="39" t="s">
        <v>2314</v>
      </c>
      <c r="D1264" s="1163"/>
      <c r="E1264" s="295" t="s">
        <v>2315</v>
      </c>
      <c r="F1264" s="1120"/>
      <c r="G1264" s="1700"/>
      <c r="H1264" s="1690"/>
      <c r="I1264" s="1690"/>
      <c r="J1264" s="1694"/>
      <c r="K1264" s="1690"/>
      <c r="L1264" s="1692"/>
      <c r="M1264" s="1694"/>
      <c r="N1264" s="355"/>
    </row>
    <row r="1265" spans="2:14" ht="15" thickBot="1">
      <c r="B1265" s="21" t="s">
        <v>1868</v>
      </c>
      <c r="C1265" s="250" t="s">
        <v>2316</v>
      </c>
      <c r="D1265" s="1162" t="s">
        <v>523</v>
      </c>
      <c r="E1265" s="237" t="s">
        <v>2317</v>
      </c>
      <c r="F1265" s="1118" t="s">
        <v>108</v>
      </c>
      <c r="G1265" s="1295">
        <v>9</v>
      </c>
      <c r="H1265" s="1112">
        <v>11</v>
      </c>
      <c r="I1265" s="1159">
        <v>12.916700000000001</v>
      </c>
      <c r="J1265" s="1276">
        <v>45.76</v>
      </c>
      <c r="K1265" s="1112">
        <v>54</v>
      </c>
      <c r="L1265" s="1275">
        <v>697.5018</v>
      </c>
      <c r="M1265" s="1262">
        <v>2471.04</v>
      </c>
      <c r="N1265" s="355"/>
    </row>
    <row r="1266" spans="2:14">
      <c r="B1266" s="517"/>
      <c r="C1266" s="251" t="s">
        <v>2318</v>
      </c>
      <c r="D1266" s="1164"/>
      <c r="E1266" s="296" t="s">
        <v>2319</v>
      </c>
      <c r="F1266" s="1119"/>
      <c r="G1266" s="1697"/>
      <c r="H1266" s="1686"/>
      <c r="I1266" s="1686"/>
      <c r="J1266" s="1689"/>
      <c r="K1266" s="1686"/>
      <c r="L1266" s="1687"/>
      <c r="M1266" s="1689"/>
      <c r="N1266" s="355"/>
    </row>
    <row r="1267" spans="2:14">
      <c r="B1267" s="517"/>
      <c r="C1267" s="251" t="s">
        <v>2320</v>
      </c>
      <c r="D1267" s="1164"/>
      <c r="E1267" s="295" t="s">
        <v>2321</v>
      </c>
      <c r="F1267" s="1119"/>
      <c r="G1267" s="1697"/>
      <c r="H1267" s="1686"/>
      <c r="I1267" s="1686"/>
      <c r="J1267" s="1689"/>
      <c r="K1267" s="1686"/>
      <c r="L1267" s="1687"/>
      <c r="M1267" s="1689"/>
      <c r="N1267" s="355"/>
    </row>
    <row r="1268" spans="2:14" ht="15" thickBot="1">
      <c r="B1268" s="517"/>
      <c r="C1268" s="265" t="s">
        <v>2322</v>
      </c>
      <c r="D1268" s="1163"/>
      <c r="E1268" s="295" t="s">
        <v>2323</v>
      </c>
      <c r="F1268" s="1120"/>
      <c r="G1268" s="1700"/>
      <c r="H1268" s="1690"/>
      <c r="I1268" s="1690"/>
      <c r="J1268" s="1694"/>
      <c r="K1268" s="1690"/>
      <c r="L1268" s="1692"/>
      <c r="M1268" s="1694"/>
      <c r="N1268" s="355"/>
    </row>
    <row r="1269" spans="2:14" ht="15" thickBot="1">
      <c r="B1269" s="518" t="s">
        <v>326</v>
      </c>
      <c r="C1269" s="250" t="s">
        <v>2324</v>
      </c>
      <c r="D1269" s="1162" t="s">
        <v>227</v>
      </c>
      <c r="E1269" s="237" t="s">
        <v>2325</v>
      </c>
      <c r="F1269" s="1118" t="s">
        <v>108</v>
      </c>
      <c r="G1269" s="1295">
        <v>2.2799999999999998</v>
      </c>
      <c r="H1269" s="1112">
        <v>24</v>
      </c>
      <c r="I1269" s="1159">
        <v>6.0278</v>
      </c>
      <c r="J1269" s="1116">
        <v>21.431999999999999</v>
      </c>
      <c r="K1269" s="1112">
        <v>120</v>
      </c>
      <c r="L1269" s="1275">
        <v>723.33600000000001</v>
      </c>
      <c r="M1269" s="1262">
        <v>2571.84</v>
      </c>
      <c r="N1269" s="355"/>
    </row>
    <row r="1270" spans="2:14">
      <c r="B1270" s="517"/>
      <c r="C1270" s="251" t="s">
        <v>2326</v>
      </c>
      <c r="D1270" s="1164"/>
      <c r="E1270" s="296" t="s">
        <v>2327</v>
      </c>
      <c r="F1270" s="1119"/>
      <c r="G1270" s="1697"/>
      <c r="H1270" s="1686"/>
      <c r="I1270" s="1686"/>
      <c r="J1270" s="1689"/>
      <c r="K1270" s="1686"/>
      <c r="L1270" s="1687"/>
      <c r="M1270" s="1689"/>
      <c r="N1270" s="355"/>
    </row>
    <row r="1271" spans="2:14" ht="15.75" customHeight="1">
      <c r="B1271" s="517"/>
      <c r="C1271" s="251" t="s">
        <v>2328</v>
      </c>
      <c r="D1271" s="1164"/>
      <c r="E1271" s="295" t="s">
        <v>2329</v>
      </c>
      <c r="F1271" s="1119"/>
      <c r="G1271" s="1697"/>
      <c r="H1271" s="1686"/>
      <c r="I1271" s="1686"/>
      <c r="J1271" s="1689"/>
      <c r="K1271" s="1686"/>
      <c r="L1271" s="1687"/>
      <c r="M1271" s="1689"/>
      <c r="N1271" s="355"/>
    </row>
    <row r="1272" spans="2:14" ht="15" thickBot="1">
      <c r="B1272" s="517"/>
      <c r="C1272" s="252" t="s">
        <v>2330</v>
      </c>
      <c r="D1272" s="1163"/>
      <c r="E1272" s="297" t="s">
        <v>2331</v>
      </c>
      <c r="F1272" s="1120"/>
      <c r="G1272" s="1700"/>
      <c r="H1272" s="1690"/>
      <c r="I1272" s="1690"/>
      <c r="J1272" s="1694"/>
      <c r="K1272" s="1690"/>
      <c r="L1272" s="1692"/>
      <c r="M1272" s="1694"/>
      <c r="N1272" s="355"/>
    </row>
    <row r="1273" spans="2:14" ht="15" thickBot="1">
      <c r="B1273" s="517"/>
      <c r="C1273" s="422" t="s">
        <v>247</v>
      </c>
      <c r="D1273" s="243"/>
      <c r="E1273" s="242"/>
      <c r="F1273" s="243"/>
      <c r="G1273" s="243"/>
      <c r="H1273" s="243"/>
      <c r="I1273" s="328"/>
      <c r="J1273" s="328"/>
      <c r="K1273" s="243"/>
      <c r="L1273" s="328"/>
      <c r="M1273" s="328"/>
      <c r="N1273" s="328"/>
    </row>
    <row r="1274" spans="2:14" ht="31.5" customHeight="1" thickBot="1">
      <c r="C1274" s="63" t="s">
        <v>2332</v>
      </c>
      <c r="G1274" s="549"/>
      <c r="H1274" s="1133" t="s">
        <v>101</v>
      </c>
      <c r="I1274" s="1675"/>
      <c r="J1274" s="1676"/>
      <c r="K1274" s="1133" t="s">
        <v>102</v>
      </c>
      <c r="L1274" s="1675"/>
      <c r="M1274" s="1676"/>
      <c r="N1274" s="26"/>
    </row>
    <row r="1275" spans="2:14" ht="15" customHeight="1" thickBot="1">
      <c r="C1275" s="29" t="s">
        <v>103</v>
      </c>
      <c r="D1275" s="31" t="s">
        <v>104</v>
      </c>
      <c r="E1275" s="42" t="s">
        <v>105</v>
      </c>
      <c r="F1275" s="31" t="s">
        <v>106</v>
      </c>
      <c r="G1275" s="32" t="s">
        <v>107</v>
      </c>
      <c r="H1275" s="43" t="s">
        <v>108</v>
      </c>
      <c r="I1275" s="44" t="s">
        <v>109</v>
      </c>
      <c r="J1275" s="55" t="s">
        <v>110</v>
      </c>
      <c r="K1275" s="43" t="s">
        <v>111</v>
      </c>
      <c r="L1275" s="44" t="s">
        <v>109</v>
      </c>
      <c r="M1275" s="55" t="s">
        <v>110</v>
      </c>
      <c r="N1275" s="37"/>
    </row>
    <row r="1276" spans="2:14" ht="14.1" customHeight="1" thickBot="1">
      <c r="B1276" s="21" t="s">
        <v>112</v>
      </c>
      <c r="C1276" s="237" t="s">
        <v>2333</v>
      </c>
      <c r="D1276" s="1207" t="s">
        <v>1703</v>
      </c>
      <c r="E1276" s="202" t="s">
        <v>2334</v>
      </c>
      <c r="F1276" s="1118" t="s">
        <v>109</v>
      </c>
      <c r="G1276" s="1295">
        <v>2.2200000000000002</v>
      </c>
      <c r="H1276" s="1112">
        <v>10</v>
      </c>
      <c r="I1276" s="1159">
        <v>18.940000000000001</v>
      </c>
      <c r="J1276" s="1136">
        <v>75.561199999999999</v>
      </c>
      <c r="K1276" s="1112">
        <v>32</v>
      </c>
      <c r="L1276" s="1275">
        <v>606.22</v>
      </c>
      <c r="M1276" s="1262">
        <v>2417.92</v>
      </c>
      <c r="N1276" s="355"/>
    </row>
    <row r="1277" spans="2:14" ht="14.1" customHeight="1">
      <c r="B1277" s="517"/>
      <c r="C1277" s="295" t="s">
        <v>2335</v>
      </c>
      <c r="D1277" s="1208"/>
      <c r="E1277" s="203" t="s">
        <v>2336</v>
      </c>
      <c r="F1277" s="1119"/>
      <c r="G1277" s="1697"/>
      <c r="H1277" s="1686"/>
      <c r="I1277" s="1686"/>
      <c r="J1277" s="1689"/>
      <c r="K1277" s="1686"/>
      <c r="L1277" s="1687"/>
      <c r="M1277" s="1689"/>
      <c r="N1277" s="355"/>
    </row>
    <row r="1278" spans="2:14" ht="14.1" customHeight="1">
      <c r="B1278" s="517"/>
      <c r="C1278" s="295" t="s">
        <v>2337</v>
      </c>
      <c r="D1278" s="1208"/>
      <c r="E1278" s="203" t="s">
        <v>2338</v>
      </c>
      <c r="F1278" s="1119"/>
      <c r="G1278" s="1697"/>
      <c r="H1278" s="1686"/>
      <c r="I1278" s="1686"/>
      <c r="J1278" s="1689"/>
      <c r="K1278" s="1686"/>
      <c r="L1278" s="1687"/>
      <c r="M1278" s="1689"/>
      <c r="N1278" s="355"/>
    </row>
    <row r="1279" spans="2:14" ht="14.1" customHeight="1">
      <c r="B1279" s="517"/>
      <c r="C1279" s="295" t="s">
        <v>2339</v>
      </c>
      <c r="D1279" s="1208"/>
      <c r="E1279" s="203" t="s">
        <v>2340</v>
      </c>
      <c r="F1279" s="1119"/>
      <c r="G1279" s="1697"/>
      <c r="H1279" s="1686"/>
      <c r="I1279" s="1686"/>
      <c r="J1279" s="1689"/>
      <c r="K1279" s="1686"/>
      <c r="L1279" s="1687"/>
      <c r="M1279" s="1689"/>
      <c r="N1279" s="355"/>
    </row>
    <row r="1280" spans="2:14" ht="14.1" customHeight="1" thickBot="1">
      <c r="B1280" s="517"/>
      <c r="C1280" s="297" t="s">
        <v>2341</v>
      </c>
      <c r="D1280" s="1209"/>
      <c r="E1280" s="204" t="s">
        <v>2342</v>
      </c>
      <c r="F1280" s="1120"/>
      <c r="G1280" s="1700"/>
      <c r="H1280" s="1690"/>
      <c r="I1280" s="1690"/>
      <c r="J1280" s="1694"/>
      <c r="K1280" s="1690"/>
      <c r="L1280" s="1692"/>
      <c r="M1280" s="1694"/>
      <c r="N1280" s="355"/>
    </row>
    <row r="1281" spans="2:14" ht="14.1" customHeight="1" thickBot="1">
      <c r="B1281" s="517"/>
      <c r="C1281" s="883" t="s">
        <v>2343</v>
      </c>
      <c r="D1281" s="1382" t="s">
        <v>114</v>
      </c>
      <c r="E1281" s="315" t="s">
        <v>2344</v>
      </c>
      <c r="F1281" s="1162" t="s">
        <v>109</v>
      </c>
      <c r="G1281" s="1295">
        <v>2.2200000000000002</v>
      </c>
      <c r="H1281" s="1405">
        <v>10</v>
      </c>
      <c r="I1281" s="1159">
        <v>20.34</v>
      </c>
      <c r="J1281" s="1308">
        <v>79.7</v>
      </c>
      <c r="K1281" s="1112">
        <v>32</v>
      </c>
      <c r="L1281" s="1275">
        <v>651</v>
      </c>
      <c r="M1281" s="1262">
        <v>2550.4</v>
      </c>
      <c r="N1281" s="355"/>
    </row>
    <row r="1282" spans="2:14" ht="14.1" customHeight="1">
      <c r="C1282" s="881" t="s">
        <v>2345</v>
      </c>
      <c r="D1282" s="1383"/>
      <c r="E1282" s="881" t="s">
        <v>2346</v>
      </c>
      <c r="F1282" s="1164"/>
      <c r="G1282" s="1697"/>
      <c r="H1282" s="1686"/>
      <c r="I1282" s="1686"/>
      <c r="J1282" s="1689"/>
      <c r="K1282" s="1686"/>
      <c r="L1282" s="1687"/>
      <c r="M1282" s="1689"/>
      <c r="N1282" s="355"/>
    </row>
    <row r="1283" spans="2:14" ht="14.1" customHeight="1" thickBot="1">
      <c r="C1283" s="439" t="s">
        <v>2347</v>
      </c>
      <c r="D1283" s="1384"/>
      <c r="E1283" s="881" t="s">
        <v>2348</v>
      </c>
      <c r="F1283" s="1163"/>
      <c r="G1283" s="1700"/>
      <c r="H1283" s="1690"/>
      <c r="I1283" s="1690"/>
      <c r="J1283" s="1694"/>
      <c r="K1283" s="1690"/>
      <c r="L1283" s="1692"/>
      <c r="M1283" s="1694"/>
      <c r="N1283" s="355"/>
    </row>
    <row r="1284" spans="2:14" ht="14.1" customHeight="1" thickBot="1">
      <c r="B1284" s="517"/>
      <c r="C1284" s="205" t="s">
        <v>2349</v>
      </c>
      <c r="D1284" s="1207" t="s">
        <v>259</v>
      </c>
      <c r="E1284" s="202" t="s">
        <v>2350</v>
      </c>
      <c r="F1284" s="1118" t="s">
        <v>109</v>
      </c>
      <c r="G1284" s="1295">
        <v>2.2200000000000002</v>
      </c>
      <c r="H1284" s="1112">
        <v>6</v>
      </c>
      <c r="I1284" s="1159">
        <v>23.25</v>
      </c>
      <c r="J1284" s="1136">
        <v>85.08</v>
      </c>
      <c r="K1284" s="1112">
        <v>30</v>
      </c>
      <c r="L1284" s="1275">
        <v>697.5</v>
      </c>
      <c r="M1284" s="1262">
        <v>2552.4</v>
      </c>
      <c r="N1284" s="355"/>
    </row>
    <row r="1285" spans="2:14" ht="14.1" customHeight="1">
      <c r="B1285" s="517"/>
      <c r="C1285" s="206" t="s">
        <v>2351</v>
      </c>
      <c r="D1285" s="1208"/>
      <c r="E1285" s="203" t="s">
        <v>2352</v>
      </c>
      <c r="F1285" s="1119"/>
      <c r="G1285" s="1697"/>
      <c r="H1285" s="1686"/>
      <c r="I1285" s="1686"/>
      <c r="J1285" s="1689"/>
      <c r="K1285" s="1686"/>
      <c r="L1285" s="1687"/>
      <c r="M1285" s="1689"/>
      <c r="N1285" s="355"/>
    </row>
    <row r="1286" spans="2:14" ht="14.1" customHeight="1">
      <c r="B1286" s="517"/>
      <c r="C1286" s="206" t="s">
        <v>2353</v>
      </c>
      <c r="D1286" s="1208"/>
      <c r="E1286" s="203" t="s">
        <v>2354</v>
      </c>
      <c r="F1286" s="1119"/>
      <c r="G1286" s="1697"/>
      <c r="H1286" s="1686"/>
      <c r="I1286" s="1686"/>
      <c r="J1286" s="1689"/>
      <c r="K1286" s="1686"/>
      <c r="L1286" s="1687"/>
      <c r="M1286" s="1689"/>
      <c r="N1286" s="355"/>
    </row>
    <row r="1287" spans="2:14" ht="14.1" customHeight="1">
      <c r="B1287" s="517"/>
      <c r="C1287" s="206" t="s">
        <v>2355</v>
      </c>
      <c r="D1287" s="1208"/>
      <c r="E1287" s="203" t="s">
        <v>2356</v>
      </c>
      <c r="F1287" s="1119"/>
      <c r="G1287" s="1697"/>
      <c r="H1287" s="1686"/>
      <c r="I1287" s="1686"/>
      <c r="J1287" s="1689"/>
      <c r="K1287" s="1686"/>
      <c r="L1287" s="1687"/>
      <c r="M1287" s="1689"/>
      <c r="N1287" s="355"/>
    </row>
    <row r="1288" spans="2:14" ht="14.1" customHeight="1" thickBot="1">
      <c r="B1288" s="517"/>
      <c r="C1288" s="208" t="s">
        <v>2357</v>
      </c>
      <c r="D1288" s="1209"/>
      <c r="E1288" s="204" t="s">
        <v>2358</v>
      </c>
      <c r="F1288" s="1120"/>
      <c r="G1288" s="1700"/>
      <c r="H1288" s="1690"/>
      <c r="I1288" s="1690"/>
      <c r="J1288" s="1694"/>
      <c r="K1288" s="1690"/>
      <c r="L1288" s="1692"/>
      <c r="M1288" s="1694"/>
      <c r="N1288" s="355"/>
    </row>
    <row r="1289" spans="2:14" ht="14.1" customHeight="1" thickBot="1">
      <c r="B1289" s="517"/>
      <c r="C1289" s="209"/>
      <c r="D1289" s="979"/>
      <c r="E1289" s="209"/>
      <c r="F1289" s="243"/>
      <c r="G1289" s="583"/>
      <c r="H1289" s="320"/>
      <c r="I1289" s="355"/>
      <c r="J1289" s="355"/>
      <c r="K1289" s="320"/>
      <c r="L1289" s="980"/>
      <c r="M1289" s="980"/>
      <c r="N1289" s="355"/>
    </row>
    <row r="1290" spans="2:14" ht="32.1" customHeight="1" thickBot="1">
      <c r="B1290" s="517"/>
      <c r="C1290" s="54" t="s">
        <v>2359</v>
      </c>
      <c r="D1290" s="22" t="s">
        <v>2360</v>
      </c>
      <c r="G1290" s="549"/>
      <c r="H1290" s="1133" t="s">
        <v>101</v>
      </c>
      <c r="I1290" s="1675"/>
      <c r="J1290" s="1676"/>
      <c r="K1290" s="1133" t="s">
        <v>102</v>
      </c>
      <c r="L1290" s="1675"/>
      <c r="M1290" s="1676"/>
      <c r="N1290" s="355"/>
    </row>
    <row r="1291" spans="2:14" ht="14.1" customHeight="1" thickBot="1">
      <c r="B1291" s="517"/>
      <c r="C1291" s="29" t="s">
        <v>103</v>
      </c>
      <c r="D1291" s="31" t="s">
        <v>104</v>
      </c>
      <c r="E1291" s="42" t="s">
        <v>105</v>
      </c>
      <c r="F1291" s="31" t="s">
        <v>106</v>
      </c>
      <c r="G1291" s="31" t="s">
        <v>107</v>
      </c>
      <c r="H1291" s="43" t="s">
        <v>108</v>
      </c>
      <c r="I1291" s="44" t="s">
        <v>109</v>
      </c>
      <c r="J1291" s="55" t="s">
        <v>110</v>
      </c>
      <c r="K1291" s="43" t="s">
        <v>111</v>
      </c>
      <c r="L1291" s="44" t="s">
        <v>109</v>
      </c>
      <c r="M1291" s="55" t="s">
        <v>110</v>
      </c>
      <c r="N1291" s="355"/>
    </row>
    <row r="1292" spans="2:14" ht="15" customHeight="1" thickBot="1">
      <c r="B1292" s="602" t="s">
        <v>150</v>
      </c>
      <c r="C1292" s="250" t="s">
        <v>2361</v>
      </c>
      <c r="D1292" s="1162" t="s">
        <v>114</v>
      </c>
      <c r="E1292" s="240" t="s">
        <v>2362</v>
      </c>
      <c r="F1292" s="1162" t="s">
        <v>109</v>
      </c>
      <c r="G1292" s="1179">
        <v>3</v>
      </c>
      <c r="H1292" s="1365">
        <v>6</v>
      </c>
      <c r="I1292" s="1375">
        <v>11.63</v>
      </c>
      <c r="J1292" s="1297">
        <v>48.5</v>
      </c>
      <c r="K1292" s="1365">
        <v>48</v>
      </c>
      <c r="L1292" s="1470">
        <v>558.24</v>
      </c>
      <c r="M1292" s="1297">
        <v>2327.9</v>
      </c>
      <c r="N1292" s="37"/>
    </row>
    <row r="1293" spans="2:14" ht="14.1" customHeight="1" thickBot="1">
      <c r="B1293" s="602" t="s">
        <v>150</v>
      </c>
      <c r="C1293" s="252" t="s">
        <v>2363</v>
      </c>
      <c r="D1293" s="1164"/>
      <c r="E1293" s="266" t="s">
        <v>2364</v>
      </c>
      <c r="F1293" s="1164"/>
      <c r="G1293" s="1697"/>
      <c r="H1293" s="1686"/>
      <c r="I1293" s="1686"/>
      <c r="J1293" s="1689"/>
      <c r="K1293" s="1686"/>
      <c r="L1293" s="1687"/>
      <c r="M1293" s="1689"/>
      <c r="N1293" s="355"/>
    </row>
    <row r="1294" spans="2:14" ht="15" customHeight="1" thickBot="1">
      <c r="B1294" s="602" t="s">
        <v>150</v>
      </c>
      <c r="C1294" s="250" t="s">
        <v>2365</v>
      </c>
      <c r="D1294" s="1162" t="s">
        <v>259</v>
      </c>
      <c r="E1294" s="240" t="s">
        <v>2366</v>
      </c>
      <c r="F1294" s="1162" t="s">
        <v>109</v>
      </c>
      <c r="G1294" s="1170">
        <v>3.18</v>
      </c>
      <c r="H1294" s="1112">
        <v>3</v>
      </c>
      <c r="I1294" s="1159">
        <v>15.5</v>
      </c>
      <c r="J1294" s="1136">
        <v>49.61</v>
      </c>
      <c r="K1294" s="1112">
        <v>40</v>
      </c>
      <c r="L1294" s="1113">
        <v>620</v>
      </c>
      <c r="M1294" s="1136">
        <v>1984.56</v>
      </c>
      <c r="N1294" s="37"/>
    </row>
    <row r="1295" spans="2:14" ht="15" customHeight="1" thickBot="1">
      <c r="B1295" s="602" t="s">
        <v>150</v>
      </c>
      <c r="C1295" s="252" t="s">
        <v>2367</v>
      </c>
      <c r="D1295" s="1163"/>
      <c r="E1295" s="1" t="s">
        <v>2368</v>
      </c>
      <c r="F1295" s="1163"/>
      <c r="G1295" s="1700"/>
      <c r="H1295" s="1690"/>
      <c r="I1295" s="1690"/>
      <c r="J1295" s="1694"/>
      <c r="K1295" s="1690"/>
      <c r="L1295" s="1692"/>
      <c r="M1295" s="1694"/>
      <c r="N1295" s="37"/>
    </row>
    <row r="1296" spans="2:14" ht="14.1" customHeight="1" thickBot="1">
      <c r="B1296" s="602" t="s">
        <v>150</v>
      </c>
      <c r="C1296" s="237" t="s">
        <v>2369</v>
      </c>
      <c r="D1296" s="1207" t="s">
        <v>119</v>
      </c>
      <c r="E1296" s="202" t="s">
        <v>2370</v>
      </c>
      <c r="F1296" s="1333" t="s">
        <v>109</v>
      </c>
      <c r="G1296" s="1547">
        <v>3.96</v>
      </c>
      <c r="H1296" s="1289">
        <v>2</v>
      </c>
      <c r="I1296" s="1159">
        <v>15.5</v>
      </c>
      <c r="J1296" s="1136">
        <v>67.41</v>
      </c>
      <c r="K1296" s="1112">
        <v>35</v>
      </c>
      <c r="L1296" s="1275">
        <v>542.5</v>
      </c>
      <c r="M1296" s="1262">
        <v>2359.42</v>
      </c>
      <c r="N1296" s="355"/>
    </row>
    <row r="1297" spans="2:14" ht="14.1" customHeight="1" thickBot="1">
      <c r="B1297" s="602" t="s">
        <v>150</v>
      </c>
      <c r="C1297" s="295" t="s">
        <v>2371</v>
      </c>
      <c r="D1297" s="1208"/>
      <c r="E1297" s="203" t="s">
        <v>2372</v>
      </c>
      <c r="F1297" s="1334"/>
      <c r="G1297" s="1719"/>
      <c r="H1297" s="1720"/>
      <c r="I1297" s="1686"/>
      <c r="J1297" s="1689"/>
      <c r="K1297" s="1686"/>
      <c r="L1297" s="1687"/>
      <c r="M1297" s="1689"/>
      <c r="N1297" s="355"/>
    </row>
    <row r="1298" spans="2:14" ht="14.1" customHeight="1" thickBot="1">
      <c r="B1298" s="602" t="s">
        <v>150</v>
      </c>
      <c r="C1298" s="295" t="s">
        <v>2373</v>
      </c>
      <c r="D1298" s="1208"/>
      <c r="E1298" s="203" t="s">
        <v>2374</v>
      </c>
      <c r="F1298" s="1119"/>
      <c r="G1298" s="1441">
        <v>5.0999999999999996</v>
      </c>
      <c r="H1298" s="1720"/>
      <c r="I1298" s="1686"/>
      <c r="J1298" s="1689"/>
      <c r="K1298" s="1686"/>
      <c r="L1298" s="1687"/>
      <c r="M1298" s="1689"/>
      <c r="N1298" s="355"/>
    </row>
    <row r="1299" spans="2:14" ht="14.1" customHeight="1" thickBot="1">
      <c r="B1299" s="602" t="s">
        <v>150</v>
      </c>
      <c r="C1299" s="297" t="s">
        <v>2375</v>
      </c>
      <c r="D1299" s="1209"/>
      <c r="E1299" s="204" t="s">
        <v>2376</v>
      </c>
      <c r="F1299" s="1120"/>
      <c r="G1299" s="1700"/>
      <c r="H1299" s="1706"/>
      <c r="I1299" s="1690"/>
      <c r="J1299" s="1694"/>
      <c r="K1299" s="1690"/>
      <c r="L1299" s="1692"/>
      <c r="M1299" s="1694"/>
      <c r="N1299" s="355"/>
    </row>
    <row r="1300" spans="2:14" ht="14.1" customHeight="1" thickBot="1">
      <c r="B1300" s="602" t="s">
        <v>150</v>
      </c>
      <c r="C1300" s="1020" t="s">
        <v>2377</v>
      </c>
      <c r="D1300" s="1409" t="s">
        <v>2378</v>
      </c>
      <c r="E1300" s="1022" t="s">
        <v>2379</v>
      </c>
      <c r="F1300" s="1264" t="s">
        <v>109</v>
      </c>
      <c r="G1300" s="1406">
        <v>8.4</v>
      </c>
      <c r="H1300" s="1430">
        <v>1</v>
      </c>
      <c r="I1300" s="1319">
        <v>36.17</v>
      </c>
      <c r="J1300" s="1319">
        <v>117.92</v>
      </c>
      <c r="K1300" s="1430">
        <v>21</v>
      </c>
      <c r="L1300" s="1443">
        <v>759.57</v>
      </c>
      <c r="M1300" s="1533">
        <v>2476.2199999999998</v>
      </c>
      <c r="N1300" s="355"/>
    </row>
    <row r="1301" spans="2:14" ht="14.1" customHeight="1" thickBot="1">
      <c r="B1301" s="602" t="s">
        <v>150</v>
      </c>
      <c r="C1301" s="1020" t="s">
        <v>2380</v>
      </c>
      <c r="D1301" s="1410"/>
      <c r="E1301" s="203" t="s">
        <v>2381</v>
      </c>
      <c r="F1301" s="1265"/>
      <c r="G1301" s="1683"/>
      <c r="H1301" s="1683"/>
      <c r="I1301" s="1683"/>
      <c r="J1301" s="1683"/>
      <c r="K1301" s="1683"/>
      <c r="L1301" s="1683"/>
      <c r="M1301" s="1743"/>
      <c r="N1301" s="355"/>
    </row>
    <row r="1302" spans="2:14" ht="14.1" customHeight="1" thickBot="1">
      <c r="B1302" s="602" t="s">
        <v>150</v>
      </c>
      <c r="C1302" s="1021" t="s">
        <v>2382</v>
      </c>
      <c r="D1302" s="1411"/>
      <c r="E1302" s="1023" t="s">
        <v>2383</v>
      </c>
      <c r="F1302" s="1266"/>
      <c r="G1302" s="1685"/>
      <c r="H1302" s="1685"/>
      <c r="I1302" s="1685"/>
      <c r="J1302" s="1685"/>
      <c r="K1302" s="1685"/>
      <c r="L1302" s="1685"/>
      <c r="M1302" s="1744"/>
      <c r="N1302" s="355"/>
    </row>
    <row r="1303" spans="2:14" ht="14.1" customHeight="1">
      <c r="B1303" s="517"/>
      <c r="C1303" s="209"/>
      <c r="D1303" s="979"/>
      <c r="E1303" s="209"/>
      <c r="F1303" s="243"/>
      <c r="G1303" s="583"/>
      <c r="H1303" s="320"/>
      <c r="I1303" s="355"/>
      <c r="J1303" s="355"/>
      <c r="K1303" s="320"/>
      <c r="L1303" s="980"/>
      <c r="M1303" s="980"/>
      <c r="N1303" s="355"/>
    </row>
    <row r="1304" spans="2:14" ht="8.1" customHeight="1" thickBot="1">
      <c r="C1304" s="422"/>
      <c r="D1304" s="243"/>
      <c r="E1304" s="242"/>
      <c r="F1304" s="243"/>
      <c r="G1304" s="209"/>
      <c r="H1304" s="243"/>
      <c r="I1304" s="328"/>
      <c r="J1304" s="328"/>
      <c r="K1304" s="243"/>
      <c r="L1304" s="328"/>
      <c r="M1304" s="328"/>
      <c r="N1304" s="328"/>
    </row>
    <row r="1305" spans="2:14" ht="32.1" customHeight="1" thickBot="1">
      <c r="C1305" s="63" t="s">
        <v>2384</v>
      </c>
      <c r="G1305" s="549"/>
      <c r="H1305" s="1133" t="s">
        <v>101</v>
      </c>
      <c r="I1305" s="1675"/>
      <c r="J1305" s="1676"/>
      <c r="K1305" s="1133" t="s">
        <v>102</v>
      </c>
      <c r="L1305" s="1675"/>
      <c r="M1305" s="1676"/>
      <c r="N1305" s="26"/>
    </row>
    <row r="1306" spans="2:14" ht="15" customHeight="1" thickBot="1">
      <c r="B1306" s="20"/>
      <c r="C1306" s="29" t="s">
        <v>103</v>
      </c>
      <c r="D1306" s="31" t="s">
        <v>104</v>
      </c>
      <c r="E1306" s="42" t="s">
        <v>105</v>
      </c>
      <c r="F1306" s="31" t="s">
        <v>106</v>
      </c>
      <c r="G1306" s="31" t="s">
        <v>107</v>
      </c>
      <c r="H1306" s="43" t="s">
        <v>108</v>
      </c>
      <c r="I1306" s="44" t="s">
        <v>109</v>
      </c>
      <c r="J1306" s="55" t="s">
        <v>110</v>
      </c>
      <c r="K1306" s="43" t="s">
        <v>111</v>
      </c>
      <c r="L1306" s="44" t="s">
        <v>109</v>
      </c>
      <c r="M1306" s="55" t="s">
        <v>110</v>
      </c>
      <c r="N1306" s="37"/>
    </row>
    <row r="1307" spans="2:14" ht="15" thickBot="1">
      <c r="B1307" s="21" t="s">
        <v>1868</v>
      </c>
      <c r="C1307" s="250" t="s">
        <v>2385</v>
      </c>
      <c r="D1307" s="1162" t="s">
        <v>2386</v>
      </c>
      <c r="E1307" s="240" t="s">
        <v>2387</v>
      </c>
      <c r="F1307" s="1162" t="s">
        <v>108</v>
      </c>
      <c r="G1307" s="553">
        <v>11.4</v>
      </c>
      <c r="H1307" s="1112">
        <v>11</v>
      </c>
      <c r="I1307" s="1159">
        <v>8.2899999999999991</v>
      </c>
      <c r="J1307" s="1136">
        <v>28.22</v>
      </c>
      <c r="K1307" s="1112">
        <v>72</v>
      </c>
      <c r="L1307" s="1113">
        <v>596.32000000000005</v>
      </c>
      <c r="M1307" s="1136">
        <v>2031.78</v>
      </c>
      <c r="N1307" s="37"/>
    </row>
    <row r="1308" spans="2:14" ht="15.95" customHeight="1" thickBot="1">
      <c r="B1308" s="517"/>
      <c r="C1308" s="252" t="s">
        <v>2388</v>
      </c>
      <c r="D1308" s="1163"/>
      <c r="E1308" s="1" t="s">
        <v>2389</v>
      </c>
      <c r="F1308" s="1163"/>
      <c r="G1308" s="580">
        <v>11.4</v>
      </c>
      <c r="H1308" s="1690"/>
      <c r="I1308" s="1690"/>
      <c r="J1308" s="1694"/>
      <c r="K1308" s="1690"/>
      <c r="L1308" s="1692"/>
      <c r="M1308" s="1694"/>
      <c r="N1308" s="37"/>
    </row>
    <row r="1309" spans="2:14" ht="15" customHeight="1" thickBot="1">
      <c r="B1309" s="517"/>
      <c r="C1309" s="288" t="s">
        <v>2390</v>
      </c>
      <c r="D1309" s="413" t="s">
        <v>2391</v>
      </c>
      <c r="E1309" s="246" t="s">
        <v>2392</v>
      </c>
      <c r="F1309" s="902" t="s">
        <v>108</v>
      </c>
      <c r="G1309" s="226">
        <v>8.6999999999999993</v>
      </c>
      <c r="H1309" s="353">
        <v>15</v>
      </c>
      <c r="I1309" s="351">
        <v>14</v>
      </c>
      <c r="J1309" s="352" t="s">
        <v>2393</v>
      </c>
      <c r="K1309" s="353">
        <v>72</v>
      </c>
      <c r="L1309" s="351">
        <v>1007.5</v>
      </c>
      <c r="M1309" s="352">
        <v>3414.17</v>
      </c>
      <c r="N1309" s="37"/>
    </row>
    <row r="1310" spans="2:14" ht="15.95" customHeight="1">
      <c r="B1310" s="517"/>
      <c r="C1310" s="250" t="s">
        <v>2394</v>
      </c>
      <c r="D1310" s="1119" t="s">
        <v>250</v>
      </c>
      <c r="E1310" s="240" t="s">
        <v>2395</v>
      </c>
      <c r="F1310" s="1118" t="s">
        <v>108</v>
      </c>
      <c r="G1310" s="553">
        <v>11.4</v>
      </c>
      <c r="H1310" s="1142">
        <v>11</v>
      </c>
      <c r="I1310" s="1454">
        <v>10.76</v>
      </c>
      <c r="J1310" s="1249">
        <v>39.68</v>
      </c>
      <c r="K1310" s="1328">
        <v>72</v>
      </c>
      <c r="L1310" s="1219">
        <v>775</v>
      </c>
      <c r="M1310" s="1249">
        <v>2857.19</v>
      </c>
      <c r="N1310" s="328"/>
    </row>
    <row r="1311" spans="2:14" ht="15.95" customHeight="1">
      <c r="B1311" s="517"/>
      <c r="C1311" s="251" t="s">
        <v>2396</v>
      </c>
      <c r="D1311" s="1119"/>
      <c r="E1311" s="241" t="s">
        <v>2397</v>
      </c>
      <c r="F1311" s="1119"/>
      <c r="G1311" s="572">
        <v>11.4</v>
      </c>
      <c r="H1311" s="1691"/>
      <c r="I1311" s="1691"/>
      <c r="J1311" s="1705"/>
      <c r="K1311" s="1745"/>
      <c r="L1311" s="1718"/>
      <c r="M1311" s="1705"/>
      <c r="N1311" s="328"/>
    </row>
    <row r="1312" spans="2:14" ht="15.95" customHeight="1">
      <c r="B1312" s="517"/>
      <c r="C1312" s="288" t="s">
        <v>2398</v>
      </c>
      <c r="D1312" s="1119"/>
      <c r="E1312" s="246" t="s">
        <v>2399</v>
      </c>
      <c r="F1312" s="1119"/>
      <c r="G1312" s="584">
        <v>13.2</v>
      </c>
      <c r="H1312" s="1352">
        <v>11</v>
      </c>
      <c r="I1312" s="1322">
        <v>10.798</v>
      </c>
      <c r="J1312" s="1310">
        <v>29.04</v>
      </c>
      <c r="K1312" s="1288">
        <v>81</v>
      </c>
      <c r="L1312" s="1250">
        <v>874.64</v>
      </c>
      <c r="M1312" s="1310">
        <v>2352.2399999999998</v>
      </c>
      <c r="N1312" s="328"/>
    </row>
    <row r="1313" spans="3:14" ht="15.95" customHeight="1">
      <c r="C1313" s="251" t="s">
        <v>2400</v>
      </c>
      <c r="D1313" s="1119"/>
      <c r="E1313" s="241" t="s">
        <v>2401</v>
      </c>
      <c r="F1313" s="1119"/>
      <c r="G1313" s="572">
        <v>12</v>
      </c>
      <c r="H1313" s="1686"/>
      <c r="I1313" s="1691"/>
      <c r="J1313" s="1705"/>
      <c r="K1313" s="1691"/>
      <c r="L1313" s="1718"/>
      <c r="M1313" s="1705"/>
      <c r="N1313" s="328"/>
    </row>
    <row r="1314" spans="3:14" ht="15.95" customHeight="1">
      <c r="C1314" s="251" t="s">
        <v>2402</v>
      </c>
      <c r="D1314" s="1119"/>
      <c r="E1314" s="241" t="s">
        <v>2403</v>
      </c>
      <c r="F1314" s="1119"/>
      <c r="G1314" s="572">
        <v>13.2</v>
      </c>
      <c r="H1314" s="1237">
        <v>11</v>
      </c>
      <c r="I1314" s="1322">
        <v>10.715</v>
      </c>
      <c r="J1314" s="1258">
        <v>34.33</v>
      </c>
      <c r="K1314" s="1425">
        <v>81</v>
      </c>
      <c r="L1314" s="1218">
        <v>867.92</v>
      </c>
      <c r="M1314" s="1516">
        <v>2780.81</v>
      </c>
      <c r="N1314" s="328"/>
    </row>
    <row r="1315" spans="3:14" ht="15" customHeight="1">
      <c r="C1315" s="251" t="s">
        <v>2404</v>
      </c>
      <c r="D1315" s="1119"/>
      <c r="E1315" s="241" t="s">
        <v>2405</v>
      </c>
      <c r="F1315" s="1119"/>
      <c r="G1315" s="572">
        <v>12</v>
      </c>
      <c r="H1315" s="1686"/>
      <c r="I1315" s="1691"/>
      <c r="J1315" s="1689"/>
      <c r="K1315" s="1691"/>
      <c r="L1315" s="1718"/>
      <c r="M1315" s="1705"/>
      <c r="N1315" s="328"/>
    </row>
    <row r="1316" spans="3:14" ht="15" customHeight="1" thickBot="1">
      <c r="C1316" s="251" t="s">
        <v>2406</v>
      </c>
      <c r="D1316" s="1119"/>
      <c r="E1316" s="321" t="s">
        <v>2407</v>
      </c>
      <c r="F1316" s="1119"/>
      <c r="G1316" s="572">
        <v>10.8</v>
      </c>
      <c r="H1316" s="1228">
        <v>11</v>
      </c>
      <c r="I1316" s="1483">
        <v>10.7639</v>
      </c>
      <c r="J1316" s="1422">
        <v>25.366049</v>
      </c>
      <c r="K1316" s="1228">
        <v>81</v>
      </c>
      <c r="L1316" s="1279">
        <v>871.8759</v>
      </c>
      <c r="M1316" s="1422">
        <v>2054.65</v>
      </c>
      <c r="N1316" s="328"/>
    </row>
    <row r="1317" spans="3:14" ht="15.95" customHeight="1" thickBot="1">
      <c r="C1317" s="252" t="s">
        <v>2408</v>
      </c>
      <c r="D1317" s="1120"/>
      <c r="E1317" s="1" t="s">
        <v>2409</v>
      </c>
      <c r="F1317" s="1120"/>
      <c r="G1317" s="227">
        <v>10.8</v>
      </c>
      <c r="H1317" s="1690"/>
      <c r="I1317" s="1690"/>
      <c r="J1317" s="1694"/>
      <c r="K1317" s="1690"/>
      <c r="L1317" s="1692"/>
      <c r="M1317" s="1694"/>
      <c r="N1317" s="328"/>
    </row>
    <row r="1318" spans="3:14">
      <c r="C1318" s="250" t="s">
        <v>2410</v>
      </c>
      <c r="D1318" s="1118" t="s">
        <v>2411</v>
      </c>
      <c r="E1318" s="240" t="s">
        <v>2412</v>
      </c>
      <c r="F1318" s="1143" t="s">
        <v>108</v>
      </c>
      <c r="G1318" s="585">
        <v>13.2</v>
      </c>
      <c r="H1318" s="339">
        <v>11</v>
      </c>
      <c r="I1318" s="340">
        <v>8.9339999999999993</v>
      </c>
      <c r="J1318" s="341">
        <v>25.01</v>
      </c>
      <c r="K1318" s="339">
        <v>72</v>
      </c>
      <c r="L1318" s="340">
        <v>643.25</v>
      </c>
      <c r="M1318" s="341">
        <v>1801.01</v>
      </c>
      <c r="N1318" s="328"/>
    </row>
    <row r="1319" spans="3:14" ht="16.350000000000001" customHeight="1" thickBot="1">
      <c r="C1319" s="252" t="s">
        <v>2413</v>
      </c>
      <c r="D1319" s="1120"/>
      <c r="E1319" s="1" t="s">
        <v>2414</v>
      </c>
      <c r="F1319" s="1144"/>
      <c r="G1319" s="552">
        <v>13.2</v>
      </c>
      <c r="H1319" s="342">
        <v>11</v>
      </c>
      <c r="I1319" s="343">
        <v>9.5790000000000006</v>
      </c>
      <c r="J1319" s="344">
        <v>32.299999999999997</v>
      </c>
      <c r="K1319" s="342">
        <v>72</v>
      </c>
      <c r="L1319" s="343">
        <v>689.69</v>
      </c>
      <c r="M1319" s="344">
        <v>2325.31</v>
      </c>
      <c r="N1319" s="328"/>
    </row>
    <row r="1320" spans="3:14" ht="15" customHeight="1" thickBot="1">
      <c r="C1320" s="257" t="s">
        <v>2415</v>
      </c>
      <c r="D1320" s="255" t="s">
        <v>2416</v>
      </c>
      <c r="E1320" s="262" t="s">
        <v>2417</v>
      </c>
      <c r="F1320" s="1119"/>
      <c r="G1320" s="545">
        <v>13.2</v>
      </c>
      <c r="H1320" s="324">
        <v>11</v>
      </c>
      <c r="I1320" s="325">
        <v>7.5347</v>
      </c>
      <c r="J1320" s="326">
        <v>25.03</v>
      </c>
      <c r="K1320" s="324">
        <v>72</v>
      </c>
      <c r="L1320" s="325">
        <v>542.5</v>
      </c>
      <c r="M1320" s="326">
        <v>1801.8</v>
      </c>
      <c r="N1320" s="328"/>
    </row>
    <row r="1321" spans="3:14" ht="15" customHeight="1" thickBot="1">
      <c r="C1321" s="267" t="s">
        <v>2418</v>
      </c>
      <c r="D1321" s="255" t="s">
        <v>2419</v>
      </c>
      <c r="E1321" s="267" t="s">
        <v>2420</v>
      </c>
      <c r="F1321" s="1119"/>
      <c r="G1321" s="548">
        <v>10.8</v>
      </c>
      <c r="H1321" s="324">
        <v>11</v>
      </c>
      <c r="I1321" s="325">
        <v>10.2257</v>
      </c>
      <c r="J1321" s="326">
        <v>34.729999999999997</v>
      </c>
      <c r="K1321" s="324">
        <v>72</v>
      </c>
      <c r="L1321" s="325">
        <v>736.25</v>
      </c>
      <c r="M1321" s="326">
        <v>2500.34</v>
      </c>
      <c r="N1321" s="328"/>
    </row>
    <row r="1322" spans="3:14">
      <c r="C1322" s="246" t="s">
        <v>2421</v>
      </c>
      <c r="D1322" s="1118" t="s">
        <v>2422</v>
      </c>
      <c r="E1322" s="246" t="s">
        <v>2423</v>
      </c>
      <c r="F1322" s="1412"/>
      <c r="G1322" s="1215">
        <v>16.8</v>
      </c>
      <c r="H1322" s="345">
        <v>11</v>
      </c>
      <c r="I1322" s="346">
        <v>13.37</v>
      </c>
      <c r="J1322" s="347">
        <v>38.24</v>
      </c>
      <c r="K1322" s="345">
        <v>72</v>
      </c>
      <c r="L1322" s="346">
        <v>962.64</v>
      </c>
      <c r="M1322" s="347">
        <v>2753</v>
      </c>
      <c r="N1322" s="328"/>
    </row>
    <row r="1323" spans="3:14">
      <c r="C1323" s="241" t="s">
        <v>2424</v>
      </c>
      <c r="D1323" s="1400"/>
      <c r="E1323" s="241" t="s">
        <v>2425</v>
      </c>
      <c r="F1323" s="1412"/>
      <c r="G1323" s="1697"/>
      <c r="H1323" s="345">
        <v>11</v>
      </c>
      <c r="I1323" s="346">
        <v>13.37</v>
      </c>
      <c r="J1323" s="347">
        <v>38.24</v>
      </c>
      <c r="K1323" s="345">
        <v>72</v>
      </c>
      <c r="L1323" s="346">
        <v>962.64</v>
      </c>
      <c r="M1323" s="347">
        <v>2753</v>
      </c>
      <c r="N1323" s="328"/>
    </row>
    <row r="1324" spans="3:14">
      <c r="C1324" s="241" t="s">
        <v>2426</v>
      </c>
      <c r="D1324" s="1329" t="s">
        <v>2411</v>
      </c>
      <c r="E1324" s="241" t="s">
        <v>2427</v>
      </c>
      <c r="F1324" s="1412"/>
      <c r="G1324" s="1697"/>
      <c r="H1324" s="378">
        <v>11</v>
      </c>
      <c r="I1324" s="356">
        <v>9.33</v>
      </c>
      <c r="J1324" s="357">
        <v>24.85</v>
      </c>
      <c r="K1324" s="378">
        <v>72</v>
      </c>
      <c r="L1324" s="396">
        <v>671.93</v>
      </c>
      <c r="M1324" s="397">
        <v>1789.13</v>
      </c>
      <c r="N1324" s="328"/>
    </row>
    <row r="1325" spans="3:14">
      <c r="C1325" s="241" t="s">
        <v>2428</v>
      </c>
      <c r="D1325" s="1400"/>
      <c r="E1325" s="241" t="s">
        <v>2429</v>
      </c>
      <c r="F1325" s="1412"/>
      <c r="G1325" s="1719"/>
      <c r="H1325" s="378">
        <v>11</v>
      </c>
      <c r="I1325" s="356">
        <v>9.33</v>
      </c>
      <c r="J1325" s="357">
        <v>24.85</v>
      </c>
      <c r="K1325" s="378">
        <v>72</v>
      </c>
      <c r="L1325" s="396">
        <v>671.93</v>
      </c>
      <c r="M1325" s="397">
        <v>1789.13</v>
      </c>
      <c r="N1325" s="328"/>
    </row>
    <row r="1326" spans="3:14" ht="12" customHeight="1">
      <c r="C1326" s="241" t="s">
        <v>2430</v>
      </c>
      <c r="D1326" s="303" t="s">
        <v>2431</v>
      </c>
      <c r="E1326" s="241" t="s">
        <v>2432</v>
      </c>
      <c r="F1326" s="1412"/>
      <c r="G1326" s="580">
        <v>14.4</v>
      </c>
      <c r="H1326" s="378">
        <v>11</v>
      </c>
      <c r="I1326" s="346">
        <v>8.4390000000000001</v>
      </c>
      <c r="J1326" s="347">
        <v>26.01</v>
      </c>
      <c r="K1326" s="345">
        <v>72</v>
      </c>
      <c r="L1326" s="365">
        <v>607.60619999999994</v>
      </c>
      <c r="M1326" s="366">
        <v>1873.05</v>
      </c>
      <c r="N1326" s="328"/>
    </row>
    <row r="1327" spans="3:14" ht="12" customHeight="1">
      <c r="C1327" s="241" t="s">
        <v>2433</v>
      </c>
      <c r="D1327" s="1329" t="s">
        <v>2422</v>
      </c>
      <c r="E1327" s="241" t="s">
        <v>2434</v>
      </c>
      <c r="F1327" s="1412"/>
      <c r="G1327" s="580">
        <v>20.399999999999999</v>
      </c>
      <c r="H1327" s="378">
        <v>11</v>
      </c>
      <c r="I1327" s="356">
        <v>12.949</v>
      </c>
      <c r="J1327" s="357">
        <v>45.19</v>
      </c>
      <c r="K1327" s="378">
        <v>72</v>
      </c>
      <c r="L1327" s="396">
        <v>932.33460000000002</v>
      </c>
      <c r="M1327" s="397">
        <v>3254.02</v>
      </c>
      <c r="N1327" s="328"/>
    </row>
    <row r="1328" spans="3:14" ht="12" customHeight="1">
      <c r="C1328" s="246" t="s">
        <v>2435</v>
      </c>
      <c r="D1328" s="1400"/>
      <c r="E1328" s="241" t="s">
        <v>2436</v>
      </c>
      <c r="F1328" s="1412"/>
      <c r="G1328" s="580">
        <v>19.2</v>
      </c>
      <c r="H1328" s="378">
        <v>11</v>
      </c>
      <c r="I1328" s="356">
        <v>12.949</v>
      </c>
      <c r="J1328" s="347">
        <v>43.43</v>
      </c>
      <c r="K1328" s="378">
        <v>72</v>
      </c>
      <c r="L1328" s="396">
        <v>932.33460000000002</v>
      </c>
      <c r="M1328" s="366">
        <v>3127.04</v>
      </c>
      <c r="N1328" s="328"/>
    </row>
    <row r="1329" spans="3:14" ht="12" customHeight="1">
      <c r="C1329" s="241" t="s">
        <v>2437</v>
      </c>
      <c r="D1329" s="974" t="s">
        <v>2438</v>
      </c>
      <c r="E1329" s="241" t="s">
        <v>2439</v>
      </c>
      <c r="F1329" s="1412"/>
      <c r="G1329" s="580">
        <v>9.6</v>
      </c>
      <c r="H1329" s="378">
        <v>11</v>
      </c>
      <c r="I1329" s="356">
        <v>6.2645999999999997</v>
      </c>
      <c r="J1329" s="347">
        <v>21.83</v>
      </c>
      <c r="K1329" s="378">
        <v>72</v>
      </c>
      <c r="L1329" s="396">
        <v>451.05470000000003</v>
      </c>
      <c r="M1329" s="366">
        <v>1571.46</v>
      </c>
      <c r="N1329" s="328"/>
    </row>
    <row r="1330" spans="3:14" ht="12" customHeight="1">
      <c r="C1330" s="246" t="s">
        <v>2440</v>
      </c>
      <c r="D1330" s="248" t="s">
        <v>2419</v>
      </c>
      <c r="E1330" s="241" t="s">
        <v>2441</v>
      </c>
      <c r="F1330" s="1412"/>
      <c r="G1330" s="580">
        <v>12</v>
      </c>
      <c r="H1330" s="378">
        <v>11</v>
      </c>
      <c r="I1330" s="346">
        <v>10.613300000000001</v>
      </c>
      <c r="J1330" s="347">
        <v>40.79</v>
      </c>
      <c r="K1330" s="345">
        <v>72</v>
      </c>
      <c r="L1330" s="365">
        <v>764.15790000000004</v>
      </c>
      <c r="M1330" s="366">
        <v>2936.56</v>
      </c>
      <c r="N1330" s="328"/>
    </row>
    <row r="1331" spans="3:14" ht="12" customHeight="1">
      <c r="C1331" s="241" t="s">
        <v>2442</v>
      </c>
      <c r="D1331" s="1329" t="s">
        <v>2443</v>
      </c>
      <c r="E1331" s="241" t="s">
        <v>2444</v>
      </c>
      <c r="F1331" s="1412"/>
      <c r="G1331" s="580">
        <v>19.2</v>
      </c>
      <c r="H1331" s="348">
        <v>11</v>
      </c>
      <c r="I1331" s="349">
        <v>11.915699999999999</v>
      </c>
      <c r="J1331" s="357">
        <v>42.77</v>
      </c>
      <c r="K1331" s="348">
        <v>72</v>
      </c>
      <c r="L1331" s="398">
        <v>857.93389999999999</v>
      </c>
      <c r="M1331" s="361">
        <v>3079.42</v>
      </c>
      <c r="N1331" s="328"/>
    </row>
    <row r="1332" spans="3:14" ht="12" customHeight="1">
      <c r="C1332" s="241" t="s">
        <v>2445</v>
      </c>
      <c r="D1332" s="1400"/>
      <c r="E1332" s="241" t="s">
        <v>2446</v>
      </c>
      <c r="F1332" s="1412"/>
      <c r="G1332" s="580">
        <v>17.399999999999999</v>
      </c>
      <c r="H1332" s="378">
        <v>11</v>
      </c>
      <c r="I1332" s="356">
        <v>11.915699999999999</v>
      </c>
      <c r="J1332" s="347">
        <v>41.01</v>
      </c>
      <c r="K1332" s="378">
        <v>72</v>
      </c>
      <c r="L1332" s="396">
        <v>857.93389999999999</v>
      </c>
      <c r="M1332" s="397">
        <v>2952.43</v>
      </c>
      <c r="N1332" s="328"/>
    </row>
    <row r="1333" spans="3:14">
      <c r="C1333" s="241" t="s">
        <v>2447</v>
      </c>
      <c r="D1333" s="1329" t="s">
        <v>250</v>
      </c>
      <c r="E1333" s="241" t="s">
        <v>2448</v>
      </c>
      <c r="F1333" s="1334"/>
      <c r="G1333" s="1482">
        <v>9.3000000000000007</v>
      </c>
      <c r="H1333" s="345">
        <v>11</v>
      </c>
      <c r="I1333" s="346">
        <v>11.302</v>
      </c>
      <c r="J1333" s="347">
        <v>36.37694444444444</v>
      </c>
      <c r="K1333" s="345">
        <v>72</v>
      </c>
      <c r="L1333" s="346">
        <v>813.74399999999991</v>
      </c>
      <c r="M1333" s="347">
        <v>2619.14</v>
      </c>
      <c r="N1333" s="328"/>
    </row>
    <row r="1334" spans="3:14">
      <c r="C1334" s="241" t="s">
        <v>2449</v>
      </c>
      <c r="D1334" s="1119"/>
      <c r="E1334" s="241" t="s">
        <v>2450</v>
      </c>
      <c r="F1334" s="1334"/>
      <c r="G1334" s="1697"/>
      <c r="H1334" s="1425">
        <v>11</v>
      </c>
      <c r="I1334" s="1322">
        <v>10.7639</v>
      </c>
      <c r="J1334" s="1516">
        <v>35.936944444444443</v>
      </c>
      <c r="K1334" s="1425">
        <v>72</v>
      </c>
      <c r="L1334" s="1323">
        <v>763.2</v>
      </c>
      <c r="M1334" s="1371">
        <v>2587.46</v>
      </c>
      <c r="N1334" s="328"/>
    </row>
    <row r="1335" spans="3:14">
      <c r="C1335" s="241" t="s">
        <v>2451</v>
      </c>
      <c r="D1335" s="1119"/>
      <c r="E1335" s="241" t="s">
        <v>2452</v>
      </c>
      <c r="F1335" s="1334"/>
      <c r="G1335" s="1697"/>
      <c r="H1335" s="1691"/>
      <c r="I1335" s="1691"/>
      <c r="J1335" s="1705"/>
      <c r="K1335" s="1691"/>
      <c r="L1335" s="1718"/>
      <c r="M1335" s="1705"/>
      <c r="N1335" s="328"/>
    </row>
    <row r="1336" spans="3:14">
      <c r="C1336" s="241" t="s">
        <v>2453</v>
      </c>
      <c r="D1336" s="1119"/>
      <c r="E1336" s="241" t="s">
        <v>2454</v>
      </c>
      <c r="F1336" s="1334"/>
      <c r="G1336" s="1697"/>
      <c r="H1336" s="378">
        <v>11</v>
      </c>
      <c r="I1336" s="356">
        <v>11.302</v>
      </c>
      <c r="J1336" s="357">
        <v>34.726944444444449</v>
      </c>
      <c r="K1336" s="378">
        <v>72</v>
      </c>
      <c r="L1336" s="356">
        <v>814</v>
      </c>
      <c r="M1336" s="357">
        <v>2500.34</v>
      </c>
      <c r="N1336" s="328"/>
    </row>
    <row r="1337" spans="3:14">
      <c r="C1337" s="251" t="s">
        <v>2455</v>
      </c>
      <c r="D1337" s="1119"/>
      <c r="E1337" s="241" t="s">
        <v>2456</v>
      </c>
      <c r="F1337" s="1334"/>
      <c r="G1337" s="1719"/>
      <c r="H1337" s="378">
        <v>11</v>
      </c>
      <c r="I1337" s="356">
        <v>10.7639</v>
      </c>
      <c r="J1337" s="357">
        <v>32.30694444444444</v>
      </c>
      <c r="K1337" s="378">
        <v>72</v>
      </c>
      <c r="L1337" s="356">
        <v>763.2</v>
      </c>
      <c r="M1337" s="357">
        <v>2326.1</v>
      </c>
      <c r="N1337" s="328"/>
    </row>
    <row r="1338" spans="3:14" ht="15" thickBot="1">
      <c r="C1338" s="251" t="s">
        <v>2457</v>
      </c>
      <c r="D1338" s="1119"/>
      <c r="E1338" s="241" t="s">
        <v>2458</v>
      </c>
      <c r="F1338" s="1334"/>
      <c r="G1338" s="1174">
        <v>10.8</v>
      </c>
      <c r="H1338" s="378">
        <v>11</v>
      </c>
      <c r="I1338" s="356">
        <v>11.651999999999999</v>
      </c>
      <c r="J1338" s="357">
        <v>41.99805555555556</v>
      </c>
      <c r="K1338" s="378">
        <v>72</v>
      </c>
      <c r="L1338" s="356">
        <v>836.98</v>
      </c>
      <c r="M1338" s="357">
        <v>3023.86</v>
      </c>
      <c r="N1338" s="328"/>
    </row>
    <row r="1339" spans="3:14">
      <c r="C1339" s="251" t="s">
        <v>2459</v>
      </c>
      <c r="D1339" s="1119"/>
      <c r="E1339" s="241" t="s">
        <v>2460</v>
      </c>
      <c r="F1339" s="1334"/>
      <c r="G1339" s="1697"/>
      <c r="H1339" s="378">
        <v>11</v>
      </c>
      <c r="I1339" s="356">
        <v>11.302099999999999</v>
      </c>
      <c r="J1339" s="357">
        <v>35.936944444444443</v>
      </c>
      <c r="K1339" s="378">
        <v>72</v>
      </c>
      <c r="L1339" s="356">
        <v>813.75119999999993</v>
      </c>
      <c r="M1339" s="357">
        <v>2587.46</v>
      </c>
      <c r="N1339" s="328"/>
    </row>
    <row r="1340" spans="3:14">
      <c r="C1340" s="251" t="s">
        <v>2461</v>
      </c>
      <c r="D1340" s="1119"/>
      <c r="E1340" s="241" t="s">
        <v>2462</v>
      </c>
      <c r="F1340" s="1334"/>
      <c r="G1340" s="1697"/>
      <c r="H1340" s="378">
        <v>11</v>
      </c>
      <c r="I1340" s="356">
        <v>11.651999999999999</v>
      </c>
      <c r="J1340" s="357">
        <v>39.578055555555551</v>
      </c>
      <c r="K1340" s="378">
        <v>72</v>
      </c>
      <c r="L1340" s="356">
        <v>836.98</v>
      </c>
      <c r="M1340" s="357">
        <v>2849.62</v>
      </c>
      <c r="N1340" s="328"/>
    </row>
    <row r="1341" spans="3:14" ht="15" thickBot="1">
      <c r="C1341" s="265" t="s">
        <v>2463</v>
      </c>
      <c r="D1341" s="1120"/>
      <c r="E1341" s="266" t="s">
        <v>2464</v>
      </c>
      <c r="F1341" s="1335"/>
      <c r="G1341" s="1700"/>
      <c r="H1341" s="342">
        <v>11</v>
      </c>
      <c r="I1341" s="343">
        <v>11.651999999999999</v>
      </c>
      <c r="J1341" s="344">
        <v>39.578055555555551</v>
      </c>
      <c r="K1341" s="342">
        <v>72</v>
      </c>
      <c r="L1341" s="343">
        <v>836.98</v>
      </c>
      <c r="M1341" s="344">
        <v>2849.62</v>
      </c>
      <c r="N1341" s="328"/>
    </row>
    <row r="1342" spans="3:14">
      <c r="C1342" s="440" t="s">
        <v>2465</v>
      </c>
      <c r="D1342" s="1118" t="s">
        <v>250</v>
      </c>
      <c r="E1342" s="111" t="s">
        <v>2466</v>
      </c>
      <c r="F1342" s="1333" t="s">
        <v>108</v>
      </c>
      <c r="G1342" s="1215">
        <v>9</v>
      </c>
      <c r="H1342" s="339">
        <v>11</v>
      </c>
      <c r="I1342" s="441">
        <v>10.6557</v>
      </c>
      <c r="J1342" s="341">
        <v>29.765999999999998</v>
      </c>
      <c r="K1342" s="393">
        <v>72</v>
      </c>
      <c r="L1342" s="399">
        <v>767.21040000000005</v>
      </c>
      <c r="M1342" s="400">
        <v>2143.15</v>
      </c>
      <c r="N1342" s="328"/>
    </row>
    <row r="1343" spans="3:14">
      <c r="C1343" s="442" t="s">
        <v>2467</v>
      </c>
      <c r="D1343" s="1119"/>
      <c r="E1343" s="112" t="s">
        <v>2468</v>
      </c>
      <c r="F1343" s="1334"/>
      <c r="G1343" s="1697"/>
      <c r="H1343" s="332">
        <v>11</v>
      </c>
      <c r="I1343" s="356">
        <v>10.6557</v>
      </c>
      <c r="J1343" s="415">
        <v>31.966000000000001</v>
      </c>
      <c r="K1343" s="378">
        <v>72</v>
      </c>
      <c r="L1343" s="391">
        <v>767.21040000000005</v>
      </c>
      <c r="M1343" s="401">
        <v>2301.5500000000002</v>
      </c>
      <c r="N1343" s="328"/>
    </row>
    <row r="1344" spans="3:14">
      <c r="C1344" s="442" t="s">
        <v>2469</v>
      </c>
      <c r="D1344" s="1119"/>
      <c r="E1344" s="112" t="s">
        <v>2470</v>
      </c>
      <c r="F1344" s="1334"/>
      <c r="G1344" s="1719"/>
      <c r="H1344" s="378">
        <v>11</v>
      </c>
      <c r="I1344" s="346">
        <v>10.6557</v>
      </c>
      <c r="J1344" s="328">
        <v>35.277000000000001</v>
      </c>
      <c r="K1344" s="378">
        <v>72</v>
      </c>
      <c r="L1344" s="396">
        <v>767.21040000000005</v>
      </c>
      <c r="M1344" s="397">
        <v>2539.94</v>
      </c>
      <c r="N1344" s="328"/>
    </row>
    <row r="1345" spans="2:14" ht="15" thickBot="1">
      <c r="C1345" s="442" t="s">
        <v>2471</v>
      </c>
      <c r="D1345" s="1119"/>
      <c r="E1345" s="112" t="s">
        <v>2472</v>
      </c>
      <c r="F1345" s="1334"/>
      <c r="G1345" s="1174">
        <v>9.6</v>
      </c>
      <c r="H1345" s="345">
        <v>11</v>
      </c>
      <c r="I1345" s="443">
        <v>11.7216</v>
      </c>
      <c r="J1345" s="415">
        <v>33.066000000000003</v>
      </c>
      <c r="K1345" s="378">
        <v>72</v>
      </c>
      <c r="L1345" s="396">
        <v>843.95500000000004</v>
      </c>
      <c r="M1345" s="402">
        <v>2380.75</v>
      </c>
      <c r="N1345" s="328"/>
    </row>
    <row r="1346" spans="2:14" ht="15" thickBot="1">
      <c r="C1346" s="444" t="s">
        <v>2473</v>
      </c>
      <c r="D1346" s="1120"/>
      <c r="E1346" s="64" t="s">
        <v>2474</v>
      </c>
      <c r="F1346" s="1335"/>
      <c r="G1346" s="1700"/>
      <c r="H1346" s="334">
        <v>11</v>
      </c>
      <c r="I1346" s="387">
        <v>11.194699999999999</v>
      </c>
      <c r="J1346" s="381">
        <v>35.277000000000001</v>
      </c>
      <c r="K1346" s="342">
        <v>72</v>
      </c>
      <c r="L1346" s="392">
        <v>806.01800000000003</v>
      </c>
      <c r="M1346" s="367">
        <v>2539.94</v>
      </c>
      <c r="N1346" s="328"/>
    </row>
    <row r="1347" spans="2:14" ht="15" thickBot="1">
      <c r="B1347" s="602" t="s">
        <v>150</v>
      </c>
      <c r="C1347" s="246" t="s">
        <v>2475</v>
      </c>
      <c r="D1347" s="1118" t="s">
        <v>250</v>
      </c>
      <c r="E1347" s="246" t="s">
        <v>2476</v>
      </c>
      <c r="F1347" s="1118" t="s">
        <v>108</v>
      </c>
      <c r="G1347" s="1215">
        <v>10.199999999999999</v>
      </c>
      <c r="H1347" s="334">
        <v>10</v>
      </c>
      <c r="I1347" s="387">
        <v>9.15</v>
      </c>
      <c r="J1347" s="381">
        <v>37.71</v>
      </c>
      <c r="K1347" s="342">
        <v>54</v>
      </c>
      <c r="L1347" s="392">
        <v>494.1</v>
      </c>
      <c r="M1347" s="367">
        <v>2036.34</v>
      </c>
      <c r="N1347" s="328"/>
    </row>
    <row r="1348" spans="2:14" ht="15" thickBot="1">
      <c r="B1348" s="602" t="s">
        <v>150</v>
      </c>
      <c r="C1348" s="241" t="s">
        <v>2477</v>
      </c>
      <c r="D1348" s="1119"/>
      <c r="E1348" s="241" t="s">
        <v>2478</v>
      </c>
      <c r="F1348" s="1119"/>
      <c r="G1348" s="1697"/>
      <c r="H1348" s="334">
        <v>10</v>
      </c>
      <c r="I1348" s="387">
        <v>8.93</v>
      </c>
      <c r="J1348" s="381">
        <v>36.83</v>
      </c>
      <c r="K1348" s="342">
        <v>54</v>
      </c>
      <c r="L1348" s="392">
        <v>482.22</v>
      </c>
      <c r="M1348" s="367">
        <v>1988.82</v>
      </c>
      <c r="N1348" s="328"/>
    </row>
    <row r="1349" spans="2:14" ht="15" thickBot="1">
      <c r="B1349" s="602" t="s">
        <v>150</v>
      </c>
      <c r="C1349" s="241" t="s">
        <v>2479</v>
      </c>
      <c r="D1349" s="1119"/>
      <c r="E1349" s="241" t="s">
        <v>2480</v>
      </c>
      <c r="F1349" s="1119"/>
      <c r="G1349" s="1697"/>
      <c r="H1349" s="334">
        <v>10</v>
      </c>
      <c r="I1349" s="387">
        <v>9.58</v>
      </c>
      <c r="J1349" s="381">
        <v>39.47</v>
      </c>
      <c r="K1349" s="342">
        <v>54</v>
      </c>
      <c r="L1349" s="392">
        <v>517.32000000000005</v>
      </c>
      <c r="M1349" s="367">
        <v>2131.38</v>
      </c>
      <c r="N1349" s="328"/>
    </row>
    <row r="1350" spans="2:14" ht="15" thickBot="1">
      <c r="B1350" s="602" t="s">
        <v>150</v>
      </c>
      <c r="C1350" s="241" t="s">
        <v>2481</v>
      </c>
      <c r="D1350" s="1119"/>
      <c r="E1350" s="241" t="s">
        <v>2482</v>
      </c>
      <c r="F1350" s="1119"/>
      <c r="G1350" s="1697"/>
      <c r="H1350" s="334">
        <v>10</v>
      </c>
      <c r="I1350" s="387">
        <v>8.93</v>
      </c>
      <c r="J1350" s="381">
        <v>38.81</v>
      </c>
      <c r="K1350" s="342">
        <v>54</v>
      </c>
      <c r="L1350" s="392">
        <v>482.22</v>
      </c>
      <c r="M1350" s="367">
        <v>2095.7399999999998</v>
      </c>
      <c r="N1350" s="328"/>
    </row>
    <row r="1351" spans="2:14" ht="15" thickBot="1">
      <c r="B1351" s="602" t="s">
        <v>150</v>
      </c>
      <c r="C1351" s="241" t="s">
        <v>2483</v>
      </c>
      <c r="D1351" s="1119"/>
      <c r="E1351" s="241" t="s">
        <v>2484</v>
      </c>
      <c r="F1351" s="1119"/>
      <c r="G1351" s="1697"/>
      <c r="H1351" s="334">
        <v>10</v>
      </c>
      <c r="I1351" s="387">
        <v>10.77</v>
      </c>
      <c r="J1351" s="381">
        <v>38.99</v>
      </c>
      <c r="K1351" s="342">
        <v>54</v>
      </c>
      <c r="L1351" s="392">
        <v>581.57999999999993</v>
      </c>
      <c r="M1351" s="367">
        <v>2105.46</v>
      </c>
      <c r="N1351" s="328"/>
    </row>
    <row r="1352" spans="2:14" ht="15" thickBot="1">
      <c r="B1352" s="602" t="s">
        <v>150</v>
      </c>
      <c r="C1352" s="241" t="s">
        <v>2485</v>
      </c>
      <c r="D1352" s="1119"/>
      <c r="E1352" s="241" t="s">
        <v>2486</v>
      </c>
      <c r="F1352" s="1119"/>
      <c r="G1352" s="1697"/>
      <c r="H1352" s="334">
        <v>10</v>
      </c>
      <c r="I1352" s="387">
        <v>9.15</v>
      </c>
      <c r="J1352" s="381">
        <v>37.71</v>
      </c>
      <c r="K1352" s="342">
        <v>54</v>
      </c>
      <c r="L1352" s="392">
        <v>494.1</v>
      </c>
      <c r="M1352" s="367">
        <v>2036.34</v>
      </c>
      <c r="N1352" s="328"/>
    </row>
    <row r="1353" spans="2:14" ht="15" thickBot="1">
      <c r="B1353" s="602" t="s">
        <v>150</v>
      </c>
      <c r="C1353" s="246" t="s">
        <v>2487</v>
      </c>
      <c r="D1353" s="1119"/>
      <c r="E1353" s="241" t="s">
        <v>2488</v>
      </c>
      <c r="F1353" s="1119"/>
      <c r="G1353" s="1697"/>
      <c r="H1353" s="334">
        <v>10</v>
      </c>
      <c r="I1353" s="387">
        <v>8.2899999999999991</v>
      </c>
      <c r="J1353" s="381">
        <v>34.4</v>
      </c>
      <c r="K1353" s="342">
        <v>54</v>
      </c>
      <c r="L1353" s="392">
        <v>447.66</v>
      </c>
      <c r="M1353" s="367">
        <v>1857.6</v>
      </c>
      <c r="N1353" s="328"/>
    </row>
    <row r="1354" spans="2:14" ht="15" thickBot="1">
      <c r="B1354" s="602" t="s">
        <v>150</v>
      </c>
      <c r="C1354" s="241" t="s">
        <v>2489</v>
      </c>
      <c r="D1354" s="1119"/>
      <c r="E1354" s="241" t="s">
        <v>2490</v>
      </c>
      <c r="F1354" s="1119"/>
      <c r="G1354" s="1697"/>
      <c r="H1354" s="334">
        <v>10</v>
      </c>
      <c r="I1354" s="387">
        <v>9.58</v>
      </c>
      <c r="J1354" s="381">
        <v>39.47</v>
      </c>
      <c r="K1354" s="342">
        <v>54</v>
      </c>
      <c r="L1354" s="392">
        <v>517.32000000000005</v>
      </c>
      <c r="M1354" s="367">
        <v>2131.38</v>
      </c>
      <c r="N1354" s="328"/>
    </row>
    <row r="1355" spans="2:14" ht="15" thickBot="1">
      <c r="B1355" s="602" t="s">
        <v>150</v>
      </c>
      <c r="C1355" s="241" t="s">
        <v>2491</v>
      </c>
      <c r="D1355" s="1400"/>
      <c r="E1355" s="241" t="s">
        <v>2492</v>
      </c>
      <c r="F1355" s="1119"/>
      <c r="G1355" s="1719"/>
      <c r="H1355" s="334">
        <v>10</v>
      </c>
      <c r="I1355" s="387">
        <v>8.93</v>
      </c>
      <c r="J1355" s="381">
        <v>38.81</v>
      </c>
      <c r="K1355" s="342">
        <v>54</v>
      </c>
      <c r="L1355" s="392">
        <v>482.22</v>
      </c>
      <c r="M1355" s="367">
        <v>2095.7399999999998</v>
      </c>
      <c r="N1355" s="328"/>
    </row>
    <row r="1356" spans="2:14" ht="12" customHeight="1" thickBot="1">
      <c r="B1356" s="602" t="s">
        <v>150</v>
      </c>
      <c r="C1356" s="246" t="s">
        <v>2493</v>
      </c>
      <c r="D1356" s="974" t="s">
        <v>2494</v>
      </c>
      <c r="E1356" s="241" t="s">
        <v>2495</v>
      </c>
      <c r="F1356" s="1120"/>
      <c r="G1356" s="541">
        <v>2.1</v>
      </c>
      <c r="H1356" s="334">
        <v>15</v>
      </c>
      <c r="I1356" s="387">
        <v>2.58</v>
      </c>
      <c r="J1356" s="381">
        <v>13.91</v>
      </c>
      <c r="K1356" s="342">
        <v>160</v>
      </c>
      <c r="L1356" s="392">
        <v>412.8</v>
      </c>
      <c r="M1356" s="367">
        <v>2224.8000000000002</v>
      </c>
      <c r="N1356" s="328"/>
    </row>
    <row r="1357" spans="2:14" ht="15" customHeight="1" thickBot="1">
      <c r="C1357" s="422" t="s">
        <v>247</v>
      </c>
      <c r="D1357" s="243"/>
      <c r="E1357" s="242"/>
      <c r="F1357" s="243"/>
      <c r="G1357" s="243"/>
      <c r="H1357" s="243"/>
      <c r="I1357" s="328"/>
      <c r="J1357" s="328"/>
      <c r="K1357" s="243"/>
      <c r="L1357" s="328"/>
      <c r="M1357" s="328"/>
      <c r="N1357" s="328"/>
    </row>
    <row r="1358" spans="2:14" ht="30.75" customHeight="1" thickBot="1">
      <c r="B1358" s="511"/>
      <c r="C1358" s="63" t="s">
        <v>2496</v>
      </c>
      <c r="D1358" s="232"/>
      <c r="E1358" s="22"/>
      <c r="G1358" s="549"/>
      <c r="H1358" s="1133" t="s">
        <v>101</v>
      </c>
      <c r="I1358" s="1675"/>
      <c r="J1358" s="1676"/>
      <c r="K1358" s="1211" t="s">
        <v>102</v>
      </c>
      <c r="L1358" s="1675"/>
      <c r="M1358" s="1676"/>
      <c r="N1358" s="26"/>
    </row>
    <row r="1359" spans="2:14" ht="15" customHeight="1" thickBot="1">
      <c r="C1359" s="29" t="s">
        <v>103</v>
      </c>
      <c r="D1359" s="31" t="s">
        <v>104</v>
      </c>
      <c r="E1359" s="42" t="s">
        <v>105</v>
      </c>
      <c r="F1359" s="31" t="s">
        <v>106</v>
      </c>
      <c r="G1359" s="31" t="s">
        <v>107</v>
      </c>
      <c r="H1359" s="43" t="s">
        <v>108</v>
      </c>
      <c r="I1359" s="44" t="s">
        <v>109</v>
      </c>
      <c r="J1359" s="55" t="s">
        <v>110</v>
      </c>
      <c r="K1359" s="43" t="s">
        <v>111</v>
      </c>
      <c r="L1359" s="44" t="s">
        <v>109</v>
      </c>
      <c r="M1359" s="55" t="s">
        <v>110</v>
      </c>
      <c r="N1359" s="37"/>
    </row>
    <row r="1360" spans="2:14" ht="15" thickBot="1">
      <c r="B1360" s="21" t="s">
        <v>112</v>
      </c>
      <c r="C1360" s="929" t="s">
        <v>2497</v>
      </c>
      <c r="D1360" s="1118" t="s">
        <v>114</v>
      </c>
      <c r="E1360" s="929" t="s">
        <v>2498</v>
      </c>
      <c r="F1360" s="1143" t="s">
        <v>109</v>
      </c>
      <c r="G1360" s="1223">
        <v>1.74</v>
      </c>
      <c r="H1360" s="1142">
        <v>9</v>
      </c>
      <c r="I1360" s="1114">
        <v>17.440000000000001</v>
      </c>
      <c r="J1360" s="1263">
        <v>63.9</v>
      </c>
      <c r="K1360" s="1117">
        <v>32</v>
      </c>
      <c r="L1360" s="1152">
        <v>558.08000000000004</v>
      </c>
      <c r="M1360" s="1559">
        <v>2044.8</v>
      </c>
      <c r="N1360" s="243"/>
    </row>
    <row r="1361" spans="2:14">
      <c r="C1361" s="610" t="s">
        <v>2499</v>
      </c>
      <c r="D1361" s="1119"/>
      <c r="E1361" s="610" t="s">
        <v>2500</v>
      </c>
      <c r="F1361" s="1144"/>
      <c r="G1361" s="1686"/>
      <c r="H1361" s="1686"/>
      <c r="I1361" s="1687"/>
      <c r="J1361" s="1689"/>
      <c r="K1361" s="1686"/>
      <c r="L1361" s="1687"/>
      <c r="M1361" s="1689"/>
      <c r="N1361" s="243"/>
    </row>
    <row r="1362" spans="2:14">
      <c r="B1362" s="51"/>
      <c r="C1362" s="610" t="s">
        <v>2501</v>
      </c>
      <c r="D1362" s="1119"/>
      <c r="E1362" s="610" t="s">
        <v>2502</v>
      </c>
      <c r="F1362" s="1144"/>
      <c r="G1362" s="1686"/>
      <c r="H1362" s="1686"/>
      <c r="I1362" s="1687"/>
      <c r="J1362" s="1689"/>
      <c r="K1362" s="1686"/>
      <c r="L1362" s="1687"/>
      <c r="M1362" s="1689"/>
      <c r="N1362" s="243"/>
    </row>
    <row r="1363" spans="2:14">
      <c r="B1363" s="51"/>
      <c r="C1363" s="610" t="s">
        <v>2503</v>
      </c>
      <c r="D1363" s="1119"/>
      <c r="E1363" s="610" t="s">
        <v>2504</v>
      </c>
      <c r="F1363" s="1144"/>
      <c r="G1363" s="1686"/>
      <c r="H1363" s="1686"/>
      <c r="I1363" s="1687"/>
      <c r="J1363" s="1689"/>
      <c r="K1363" s="1686"/>
      <c r="L1363" s="1687"/>
      <c r="M1363" s="1689"/>
      <c r="N1363" s="243"/>
    </row>
    <row r="1364" spans="2:14">
      <c r="B1364" s="51"/>
      <c r="C1364" s="610" t="s">
        <v>2505</v>
      </c>
      <c r="D1364" s="1119"/>
      <c r="E1364" s="610" t="s">
        <v>2506</v>
      </c>
      <c r="F1364" s="1144"/>
      <c r="G1364" s="1686"/>
      <c r="H1364" s="1686"/>
      <c r="I1364" s="1687"/>
      <c r="J1364" s="1689"/>
      <c r="K1364" s="1686"/>
      <c r="L1364" s="1687"/>
      <c r="M1364" s="1689"/>
      <c r="N1364" s="328"/>
    </row>
    <row r="1365" spans="2:14" ht="15" thickBot="1">
      <c r="B1365" s="51"/>
      <c r="C1365" s="928" t="s">
        <v>2507</v>
      </c>
      <c r="D1365" s="1120"/>
      <c r="E1365" s="928" t="s">
        <v>2508</v>
      </c>
      <c r="F1365" s="1169"/>
      <c r="G1365" s="1690"/>
      <c r="H1365" s="1691"/>
      <c r="I1365" s="1692"/>
      <c r="J1365" s="1705"/>
      <c r="K1365" s="1690"/>
      <c r="L1365" s="1692"/>
      <c r="M1365" s="1694"/>
      <c r="N1365" s="328"/>
    </row>
    <row r="1366" spans="2:14" ht="15" thickBot="1">
      <c r="B1366" s="51"/>
      <c r="C1366" s="610" t="s">
        <v>2509</v>
      </c>
      <c r="D1366" s="1119" t="s">
        <v>119</v>
      </c>
      <c r="E1366" s="610" t="s">
        <v>2510</v>
      </c>
      <c r="F1366" s="1144" t="s">
        <v>109</v>
      </c>
      <c r="G1366" s="1403">
        <v>2.2200000000000002</v>
      </c>
      <c r="H1366" s="1425">
        <v>2</v>
      </c>
      <c r="I1366" s="1332">
        <v>15.18</v>
      </c>
      <c r="J1366" s="1408">
        <v>78.7</v>
      </c>
      <c r="K1366" s="1242">
        <v>30</v>
      </c>
      <c r="L1366" s="1531">
        <v>455.31</v>
      </c>
      <c r="M1366" s="1487">
        <v>2361.13</v>
      </c>
      <c r="N1366" s="243"/>
    </row>
    <row r="1367" spans="2:14" ht="15" thickBot="1">
      <c r="B1367" s="51"/>
      <c r="C1367" s="928" t="s">
        <v>2511</v>
      </c>
      <c r="D1367" s="1120"/>
      <c r="E1367" s="928" t="s">
        <v>2512</v>
      </c>
      <c r="F1367" s="1169"/>
      <c r="G1367" s="1690"/>
      <c r="H1367" s="1691"/>
      <c r="I1367" s="1692"/>
      <c r="J1367" s="1705"/>
      <c r="K1367" s="1690"/>
      <c r="L1367" s="1692"/>
      <c r="M1367" s="1694"/>
      <c r="N1367" s="243"/>
    </row>
    <row r="1368" spans="2:14" ht="15" thickBot="1">
      <c r="B1368" s="51" t="s">
        <v>2513</v>
      </c>
      <c r="C1368" s="929" t="s">
        <v>2514</v>
      </c>
      <c r="D1368" s="1118" t="s">
        <v>119</v>
      </c>
      <c r="E1368" s="929" t="s">
        <v>2515</v>
      </c>
      <c r="F1368" s="1143" t="s">
        <v>109</v>
      </c>
      <c r="G1368" s="1223">
        <v>2.2200000000000002</v>
      </c>
      <c r="H1368" s="1142">
        <v>3</v>
      </c>
      <c r="I1368" s="1114">
        <v>22.82</v>
      </c>
      <c r="J1368" s="1263">
        <v>84.66</v>
      </c>
      <c r="K1368" s="1117">
        <v>30</v>
      </c>
      <c r="L1368" s="1152">
        <v>684.6</v>
      </c>
      <c r="M1368" s="1312" t="s">
        <v>2516</v>
      </c>
      <c r="N1368" s="328"/>
    </row>
    <row r="1369" spans="2:14">
      <c r="B1369" s="51" t="s">
        <v>2513</v>
      </c>
      <c r="C1369" s="610" t="s">
        <v>2517</v>
      </c>
      <c r="D1369" s="1119"/>
      <c r="E1369" s="610" t="s">
        <v>2518</v>
      </c>
      <c r="F1369" s="1144"/>
      <c r="G1369" s="1686"/>
      <c r="H1369" s="1686"/>
      <c r="I1369" s="1687"/>
      <c r="J1369" s="1689"/>
      <c r="K1369" s="1686"/>
      <c r="L1369" s="1687"/>
      <c r="M1369" s="1689"/>
      <c r="N1369" s="328"/>
    </row>
    <row r="1370" spans="2:14">
      <c r="B1370" s="51" t="s">
        <v>2513</v>
      </c>
      <c r="C1370" s="610" t="s">
        <v>2519</v>
      </c>
      <c r="D1370" s="1119"/>
      <c r="E1370" s="610" t="s">
        <v>2520</v>
      </c>
      <c r="F1370" s="1144"/>
      <c r="G1370" s="1686"/>
      <c r="H1370" s="1686"/>
      <c r="I1370" s="1687"/>
      <c r="J1370" s="1689"/>
      <c r="K1370" s="1686"/>
      <c r="L1370" s="1687"/>
      <c r="M1370" s="1689"/>
      <c r="N1370" s="243"/>
    </row>
    <row r="1371" spans="2:14">
      <c r="B1371" s="51" t="s">
        <v>2513</v>
      </c>
      <c r="C1371" s="610" t="s">
        <v>2521</v>
      </c>
      <c r="D1371" s="1119"/>
      <c r="E1371" s="610" t="s">
        <v>2510</v>
      </c>
      <c r="F1371" s="1144"/>
      <c r="G1371" s="1686"/>
      <c r="H1371" s="1686"/>
      <c r="I1371" s="1687"/>
      <c r="J1371" s="1689"/>
      <c r="K1371" s="1686"/>
      <c r="L1371" s="1687"/>
      <c r="M1371" s="1689"/>
      <c r="N1371" s="243"/>
    </row>
    <row r="1372" spans="2:14">
      <c r="B1372" s="51" t="s">
        <v>2513</v>
      </c>
      <c r="C1372" s="610" t="s">
        <v>2522</v>
      </c>
      <c r="D1372" s="1119"/>
      <c r="E1372" s="610" t="s">
        <v>2523</v>
      </c>
      <c r="F1372" s="1144"/>
      <c r="G1372" s="1686"/>
      <c r="H1372" s="1686"/>
      <c r="I1372" s="1687"/>
      <c r="J1372" s="1689"/>
      <c r="K1372" s="1686"/>
      <c r="L1372" s="1687"/>
      <c r="M1372" s="1689"/>
      <c r="N1372" s="243"/>
    </row>
    <row r="1373" spans="2:14" ht="15" thickBot="1">
      <c r="B1373" s="51" t="s">
        <v>2513</v>
      </c>
      <c r="C1373" s="928" t="s">
        <v>2524</v>
      </c>
      <c r="D1373" s="1120"/>
      <c r="E1373" s="928" t="s">
        <v>2512</v>
      </c>
      <c r="F1373" s="1169"/>
      <c r="G1373" s="1690"/>
      <c r="H1373" s="1691"/>
      <c r="I1373" s="1692"/>
      <c r="J1373" s="1705"/>
      <c r="K1373" s="1690"/>
      <c r="L1373" s="1692"/>
      <c r="M1373" s="1694"/>
      <c r="N1373" s="243"/>
    </row>
    <row r="1374" spans="2:14" ht="15" thickBot="1">
      <c r="C1374" s="422"/>
      <c r="D1374" s="243"/>
      <c r="E1374" s="242"/>
      <c r="F1374" s="243"/>
      <c r="G1374" s="243"/>
      <c r="H1374" s="243"/>
      <c r="I1374" s="328"/>
      <c r="J1374" s="328"/>
      <c r="K1374" s="243"/>
      <c r="L1374" s="328"/>
      <c r="M1374" s="328"/>
      <c r="N1374" s="328"/>
    </row>
    <row r="1375" spans="2:14" ht="30.75" customHeight="1" thickBot="1">
      <c r="B1375" s="511"/>
      <c r="C1375" s="63" t="s">
        <v>2525</v>
      </c>
      <c r="D1375" s="232"/>
      <c r="E1375" s="22"/>
      <c r="G1375" s="549"/>
      <c r="H1375" s="1133" t="s">
        <v>101</v>
      </c>
      <c r="I1375" s="1675"/>
      <c r="J1375" s="1676"/>
      <c r="K1375" s="1211" t="s">
        <v>102</v>
      </c>
      <c r="L1375" s="1675"/>
      <c r="M1375" s="1676"/>
      <c r="N1375" s="26"/>
    </row>
    <row r="1376" spans="2:14" ht="15" customHeight="1" thickBot="1">
      <c r="C1376" s="29" t="s">
        <v>103</v>
      </c>
      <c r="D1376" s="31" t="s">
        <v>104</v>
      </c>
      <c r="E1376" s="30" t="s">
        <v>105</v>
      </c>
      <c r="F1376" s="31" t="s">
        <v>106</v>
      </c>
      <c r="G1376" s="32" t="s">
        <v>107</v>
      </c>
      <c r="H1376" s="43" t="s">
        <v>108</v>
      </c>
      <c r="I1376" s="44" t="s">
        <v>109</v>
      </c>
      <c r="J1376" s="55" t="s">
        <v>110</v>
      </c>
      <c r="K1376" s="43" t="s">
        <v>111</v>
      </c>
      <c r="L1376" s="44" t="s">
        <v>109</v>
      </c>
      <c r="M1376" s="55" t="s">
        <v>110</v>
      </c>
      <c r="N1376" s="37"/>
    </row>
    <row r="1377" spans="2:14" ht="15" thickBot="1">
      <c r="B1377" s="21" t="s">
        <v>112</v>
      </c>
      <c r="C1377" s="309" t="s">
        <v>2526</v>
      </c>
      <c r="D1377" s="1333" t="s">
        <v>114</v>
      </c>
      <c r="E1377" s="626" t="s">
        <v>2527</v>
      </c>
      <c r="F1377" s="1143" t="s">
        <v>109</v>
      </c>
      <c r="G1377" s="1273">
        <v>1.86</v>
      </c>
      <c r="H1377" s="1241">
        <v>10</v>
      </c>
      <c r="I1377" s="1128">
        <v>18.944400000000002</v>
      </c>
      <c r="J1377" s="1390">
        <v>75.56</v>
      </c>
      <c r="K1377" s="1241">
        <v>32</v>
      </c>
      <c r="L1377" s="1550">
        <v>606.22</v>
      </c>
      <c r="M1377" s="1126">
        <v>2417.92</v>
      </c>
      <c r="N1377" s="243"/>
    </row>
    <row r="1378" spans="2:14">
      <c r="C1378" s="316" t="s">
        <v>2528</v>
      </c>
      <c r="D1378" s="1334"/>
      <c r="E1378" s="627" t="s">
        <v>2529</v>
      </c>
      <c r="F1378" s="1144"/>
      <c r="G1378" s="1719"/>
      <c r="H1378" s="1686"/>
      <c r="I1378" s="1686"/>
      <c r="J1378" s="1688"/>
      <c r="K1378" s="1686"/>
      <c r="L1378" s="1687"/>
      <c r="M1378" s="1689"/>
      <c r="N1378" s="243"/>
    </row>
    <row r="1379" spans="2:14" ht="15" thickBot="1">
      <c r="C1379" s="322" t="s">
        <v>2530</v>
      </c>
      <c r="D1379" s="1334"/>
      <c r="E1379" s="628" t="s">
        <v>2531</v>
      </c>
      <c r="F1379" s="1144"/>
      <c r="G1379" s="1426">
        <v>2.34</v>
      </c>
      <c r="H1379" s="1686"/>
      <c r="I1379" s="1686"/>
      <c r="J1379" s="1688"/>
      <c r="K1379" s="1686"/>
      <c r="L1379" s="1687"/>
      <c r="M1379" s="1689"/>
      <c r="N1379" s="243"/>
    </row>
    <row r="1380" spans="2:14" ht="15" thickBot="1">
      <c r="C1380" s="317" t="s">
        <v>2532</v>
      </c>
      <c r="D1380" s="1335"/>
      <c r="E1380" s="139" t="s">
        <v>2533</v>
      </c>
      <c r="F1380" s="1144"/>
      <c r="G1380" s="1700"/>
      <c r="H1380" s="1686"/>
      <c r="I1380" s="1690"/>
      <c r="J1380" s="1688"/>
      <c r="K1380" s="1686"/>
      <c r="L1380" s="1687"/>
      <c r="M1380" s="1689"/>
      <c r="N1380" s="243"/>
    </row>
    <row r="1381" spans="2:14" ht="15.95" customHeight="1" thickBot="1">
      <c r="C1381" s="312" t="s">
        <v>2534</v>
      </c>
      <c r="D1381" s="255" t="s">
        <v>119</v>
      </c>
      <c r="E1381" s="66" t="s">
        <v>2535</v>
      </c>
      <c r="F1381" s="255" t="s">
        <v>109</v>
      </c>
      <c r="G1381" s="623">
        <v>2.7</v>
      </c>
      <c r="H1381" s="388">
        <v>2</v>
      </c>
      <c r="I1381" s="389">
        <v>15.28</v>
      </c>
      <c r="J1381" s="390">
        <v>77.66</v>
      </c>
      <c r="K1381" s="388">
        <v>30</v>
      </c>
      <c r="L1381" s="389">
        <v>458.54</v>
      </c>
      <c r="M1381" s="390">
        <v>2329.86</v>
      </c>
      <c r="N1381" s="243"/>
    </row>
    <row r="1382" spans="2:14" ht="15" customHeight="1" thickBot="1">
      <c r="C1382" s="256"/>
      <c r="D1382" s="243"/>
      <c r="E1382" s="242"/>
      <c r="F1382" s="256"/>
      <c r="G1382" s="243"/>
      <c r="H1382" s="243"/>
      <c r="I1382" s="328"/>
      <c r="J1382" s="328"/>
      <c r="K1382" s="243"/>
      <c r="L1382" s="328"/>
      <c r="M1382" s="328"/>
      <c r="N1382" s="328"/>
    </row>
    <row r="1383" spans="2:14" ht="27.95" customHeight="1" thickBot="1">
      <c r="C1383" s="63" t="s">
        <v>2536</v>
      </c>
      <c r="G1383" s="549"/>
      <c r="H1383" s="1131" t="s">
        <v>101</v>
      </c>
      <c r="I1383" s="1716"/>
      <c r="J1383" s="1717"/>
      <c r="K1383" s="1131" t="s">
        <v>102</v>
      </c>
      <c r="L1383" s="1716"/>
      <c r="M1383" s="1717"/>
      <c r="N1383" s="26"/>
    </row>
    <row r="1384" spans="2:14" ht="15" customHeight="1" thickBot="1">
      <c r="C1384" s="29" t="s">
        <v>103</v>
      </c>
      <c r="D1384" s="32" t="s">
        <v>104</v>
      </c>
      <c r="E1384" s="42" t="s">
        <v>105</v>
      </c>
      <c r="F1384" s="32" t="s">
        <v>106</v>
      </c>
      <c r="G1384" s="32" t="s">
        <v>107</v>
      </c>
      <c r="H1384" s="33" t="s">
        <v>108</v>
      </c>
      <c r="I1384" s="34" t="s">
        <v>109</v>
      </c>
      <c r="J1384" s="36" t="s">
        <v>110</v>
      </c>
      <c r="K1384" s="33" t="s">
        <v>111</v>
      </c>
      <c r="L1384" s="34" t="s">
        <v>109</v>
      </c>
      <c r="M1384" s="36" t="s">
        <v>110</v>
      </c>
      <c r="N1384" s="37"/>
    </row>
    <row r="1385" spans="2:14" ht="15" customHeight="1" thickBot="1">
      <c r="C1385" s="29" t="s">
        <v>2537</v>
      </c>
      <c r="D1385" s="1225" t="s">
        <v>250</v>
      </c>
      <c r="E1385" s="629" t="s">
        <v>2538</v>
      </c>
      <c r="F1385" s="1225" t="s">
        <v>108</v>
      </c>
      <c r="G1385" s="1553">
        <v>10</v>
      </c>
      <c r="H1385" s="1140">
        <v>8</v>
      </c>
      <c r="I1385" s="1140">
        <v>7.75</v>
      </c>
      <c r="J1385" s="1140">
        <v>30.94</v>
      </c>
      <c r="K1385" s="1140">
        <v>60</v>
      </c>
      <c r="L1385" s="1140">
        <v>465</v>
      </c>
      <c r="M1385" s="1140">
        <v>1856.16</v>
      </c>
      <c r="N1385" s="37"/>
    </row>
    <row r="1386" spans="2:14" ht="15" customHeight="1" thickBot="1">
      <c r="C1386" s="29" t="s">
        <v>2539</v>
      </c>
      <c r="D1386" s="1226"/>
      <c r="E1386" s="629" t="s">
        <v>2540</v>
      </c>
      <c r="F1386" s="1226"/>
      <c r="G1386" s="1697"/>
      <c r="H1386" s="1686"/>
      <c r="I1386" s="1686"/>
      <c r="J1386" s="1686"/>
      <c r="K1386" s="1686"/>
      <c r="L1386" s="1686"/>
      <c r="M1386" s="1686"/>
      <c r="N1386" s="37"/>
    </row>
    <row r="1387" spans="2:14" ht="15" customHeight="1" thickBot="1">
      <c r="C1387" s="29" t="s">
        <v>2541</v>
      </c>
      <c r="D1387" s="1226"/>
      <c r="E1387" s="629" t="s">
        <v>2542</v>
      </c>
      <c r="F1387" s="1226"/>
      <c r="G1387" s="1697"/>
      <c r="H1387" s="1686"/>
      <c r="I1387" s="1686"/>
      <c r="J1387" s="1686"/>
      <c r="K1387" s="1686"/>
      <c r="L1387" s="1686"/>
      <c r="M1387" s="1686"/>
      <c r="N1387" s="37"/>
    </row>
    <row r="1388" spans="2:14" ht="15" customHeight="1" thickBot="1">
      <c r="C1388" s="29" t="s">
        <v>2543</v>
      </c>
      <c r="D1388" s="1227"/>
      <c r="E1388" s="629" t="s">
        <v>2544</v>
      </c>
      <c r="F1388" s="1227"/>
      <c r="G1388" s="1700"/>
      <c r="H1388" s="1690"/>
      <c r="I1388" s="1690"/>
      <c r="J1388" s="1690"/>
      <c r="K1388" s="1690"/>
      <c r="L1388" s="1690"/>
      <c r="M1388" s="1690"/>
      <c r="N1388" s="37"/>
    </row>
    <row r="1389" spans="2:14" ht="15" thickBot="1">
      <c r="B1389" s="20"/>
      <c r="C1389" s="931" t="s">
        <v>2545</v>
      </c>
      <c r="D1389" s="1118" t="s">
        <v>114</v>
      </c>
      <c r="E1389" s="629" t="s">
        <v>2546</v>
      </c>
      <c r="F1389" s="1118" t="s">
        <v>109</v>
      </c>
      <c r="G1389" s="1151">
        <v>3.3</v>
      </c>
      <c r="H1389" s="1117">
        <v>6</v>
      </c>
      <c r="I1389" s="1128">
        <v>11.63</v>
      </c>
      <c r="J1389" s="1116">
        <f>M1389/K1389</f>
        <v>48.497916666666669</v>
      </c>
      <c r="K1389" s="1117">
        <v>48</v>
      </c>
      <c r="L1389" s="1114">
        <v>558.24</v>
      </c>
      <c r="M1389" s="1116">
        <v>2327.9</v>
      </c>
      <c r="N1389" s="328"/>
    </row>
    <row r="1390" spans="2:14">
      <c r="B1390" s="20"/>
      <c r="C1390" s="938" t="s">
        <v>2547</v>
      </c>
      <c r="D1390" s="1119"/>
      <c r="E1390" s="630" t="s">
        <v>2548</v>
      </c>
      <c r="F1390" s="1119"/>
      <c r="G1390" s="1697"/>
      <c r="H1390" s="1686"/>
      <c r="I1390" s="1686"/>
      <c r="J1390" s="1689"/>
      <c r="K1390" s="1686"/>
      <c r="L1390" s="1687"/>
      <c r="M1390" s="1689"/>
      <c r="N1390" s="328"/>
    </row>
    <row r="1391" spans="2:14">
      <c r="B1391" s="20"/>
      <c r="C1391" s="938" t="s">
        <v>2549</v>
      </c>
      <c r="D1391" s="1119"/>
      <c r="E1391" s="630" t="s">
        <v>2550</v>
      </c>
      <c r="F1391" s="1119"/>
      <c r="G1391" s="1697"/>
      <c r="H1391" s="1686"/>
      <c r="I1391" s="1686"/>
      <c r="J1391" s="1689"/>
      <c r="K1391" s="1686"/>
      <c r="L1391" s="1687"/>
      <c r="M1391" s="1689"/>
      <c r="N1391" s="328"/>
    </row>
    <row r="1392" spans="2:14" ht="15" thickBot="1">
      <c r="B1392" s="20"/>
      <c r="C1392" s="932" t="s">
        <v>2551</v>
      </c>
      <c r="D1392" s="1120"/>
      <c r="E1392" s="631" t="s">
        <v>2552</v>
      </c>
      <c r="F1392" s="1119"/>
      <c r="G1392" s="1700"/>
      <c r="H1392" s="1690"/>
      <c r="I1392" s="1690"/>
      <c r="J1392" s="1694"/>
      <c r="K1392" s="1690"/>
      <c r="L1392" s="1692"/>
      <c r="M1392" s="1694"/>
      <c r="N1392" s="328"/>
    </row>
    <row r="1393" spans="2:14" ht="15" thickBot="1">
      <c r="B1393" s="20"/>
      <c r="C1393" s="931" t="s">
        <v>2553</v>
      </c>
      <c r="D1393" s="1118" t="s">
        <v>119</v>
      </c>
      <c r="E1393" s="629" t="s">
        <v>2554</v>
      </c>
      <c r="F1393" s="1119"/>
      <c r="G1393" s="1151">
        <v>3.9</v>
      </c>
      <c r="H1393" s="1117">
        <v>2</v>
      </c>
      <c r="I1393" s="1128">
        <v>15.5</v>
      </c>
      <c r="J1393" s="1116">
        <f>M1393/K1393</f>
        <v>69.656000000000006</v>
      </c>
      <c r="K1393" s="1117">
        <v>35</v>
      </c>
      <c r="L1393" s="1114">
        <v>542.5</v>
      </c>
      <c r="M1393" s="1116">
        <v>2437.96</v>
      </c>
      <c r="N1393" s="328"/>
    </row>
    <row r="1394" spans="2:14">
      <c r="B1394" s="20"/>
      <c r="C1394" s="938" t="s">
        <v>2555</v>
      </c>
      <c r="D1394" s="1119"/>
      <c r="E1394" s="630" t="s">
        <v>2556</v>
      </c>
      <c r="F1394" s="1119"/>
      <c r="G1394" s="1697"/>
      <c r="H1394" s="1686"/>
      <c r="I1394" s="1686"/>
      <c r="J1394" s="1689"/>
      <c r="K1394" s="1686"/>
      <c r="L1394" s="1687"/>
      <c r="M1394" s="1689"/>
      <c r="N1394" s="328"/>
    </row>
    <row r="1395" spans="2:14">
      <c r="B1395" s="20"/>
      <c r="C1395" s="938" t="s">
        <v>2557</v>
      </c>
      <c r="D1395" s="1119"/>
      <c r="E1395" s="630" t="s">
        <v>2558</v>
      </c>
      <c r="F1395" s="1119"/>
      <c r="G1395" s="1697"/>
      <c r="H1395" s="1686"/>
      <c r="I1395" s="1686"/>
      <c r="J1395" s="1689"/>
      <c r="K1395" s="1686"/>
      <c r="L1395" s="1687"/>
      <c r="M1395" s="1689"/>
      <c r="N1395" s="328"/>
    </row>
    <row r="1396" spans="2:14" ht="15" thickBot="1">
      <c r="B1396" s="20"/>
      <c r="C1396" s="932" t="s">
        <v>2559</v>
      </c>
      <c r="D1396" s="1120"/>
      <c r="E1396" s="631" t="s">
        <v>2560</v>
      </c>
      <c r="F1396" s="1119"/>
      <c r="G1396" s="1700"/>
      <c r="H1396" s="1690"/>
      <c r="I1396" s="1690"/>
      <c r="J1396" s="1694"/>
      <c r="K1396" s="1690"/>
      <c r="L1396" s="1692"/>
      <c r="M1396" s="1694"/>
      <c r="N1396" s="328"/>
    </row>
    <row r="1397" spans="2:14" ht="15" thickBot="1">
      <c r="B1397" s="20"/>
      <c r="C1397" s="931" t="s">
        <v>2561</v>
      </c>
      <c r="D1397" s="1118" t="s">
        <v>268</v>
      </c>
      <c r="E1397" s="629" t="s">
        <v>2562</v>
      </c>
      <c r="F1397" s="1119"/>
      <c r="G1397" s="1151">
        <v>4.74</v>
      </c>
      <c r="H1397" s="1117">
        <v>1</v>
      </c>
      <c r="I1397" s="1128">
        <v>15.5</v>
      </c>
      <c r="J1397" s="1116">
        <f>M1397/K1397</f>
        <v>66.139047619047616</v>
      </c>
      <c r="K1397" s="1117">
        <v>42</v>
      </c>
      <c r="L1397" s="1114">
        <v>651</v>
      </c>
      <c r="M1397" s="1116">
        <v>2777.84</v>
      </c>
      <c r="N1397" s="328"/>
    </row>
    <row r="1398" spans="2:14">
      <c r="B1398" s="20"/>
      <c r="C1398" s="938" t="s">
        <v>2563</v>
      </c>
      <c r="D1398" s="1119"/>
      <c r="E1398" s="630" t="s">
        <v>2564</v>
      </c>
      <c r="F1398" s="1119"/>
      <c r="G1398" s="1697"/>
      <c r="H1398" s="1686"/>
      <c r="I1398" s="1686"/>
      <c r="J1398" s="1689"/>
      <c r="K1398" s="1686"/>
      <c r="L1398" s="1687"/>
      <c r="M1398" s="1689"/>
      <c r="N1398" s="328"/>
    </row>
    <row r="1399" spans="2:14">
      <c r="B1399" s="20"/>
      <c r="C1399" s="938" t="s">
        <v>2565</v>
      </c>
      <c r="D1399" s="1119"/>
      <c r="E1399" s="630" t="s">
        <v>2566</v>
      </c>
      <c r="F1399" s="1119"/>
      <c r="G1399" s="1697"/>
      <c r="H1399" s="1686"/>
      <c r="I1399" s="1686"/>
      <c r="J1399" s="1689"/>
      <c r="K1399" s="1686"/>
      <c r="L1399" s="1687"/>
      <c r="M1399" s="1689"/>
      <c r="N1399" s="328"/>
    </row>
    <row r="1400" spans="2:14" ht="15" thickBot="1">
      <c r="B1400" s="20"/>
      <c r="C1400" s="932" t="s">
        <v>2567</v>
      </c>
      <c r="D1400" s="1120"/>
      <c r="E1400" s="631" t="s">
        <v>2568</v>
      </c>
      <c r="F1400" s="1119"/>
      <c r="G1400" s="1700"/>
      <c r="H1400" s="1690"/>
      <c r="I1400" s="1690"/>
      <c r="J1400" s="1694"/>
      <c r="K1400" s="1690"/>
      <c r="L1400" s="1692"/>
      <c r="M1400" s="1694"/>
      <c r="N1400" s="328"/>
    </row>
    <row r="1401" spans="2:14" ht="15" thickBot="1">
      <c r="B1401" s="20"/>
      <c r="C1401" s="931" t="s">
        <v>2179</v>
      </c>
      <c r="D1401" s="1379" t="s">
        <v>2176</v>
      </c>
      <c r="E1401" s="629" t="s">
        <v>2569</v>
      </c>
      <c r="F1401" s="1119"/>
      <c r="G1401" s="1151">
        <v>5.4</v>
      </c>
      <c r="H1401" s="1117">
        <v>1</v>
      </c>
      <c r="I1401" s="1128">
        <v>5.8125</v>
      </c>
      <c r="J1401" s="1116">
        <f>M1401/K1401</f>
        <v>55.116</v>
      </c>
      <c r="K1401" s="1117">
        <v>40</v>
      </c>
      <c r="L1401" s="1114">
        <f>I1401*K1401</f>
        <v>232.5</v>
      </c>
      <c r="M1401" s="1116">
        <v>2204.64</v>
      </c>
      <c r="N1401" s="328"/>
    </row>
    <row r="1402" spans="2:14" ht="15" thickBot="1">
      <c r="B1402" s="20"/>
      <c r="C1402" s="938" t="s">
        <v>2181</v>
      </c>
      <c r="D1402" s="1524"/>
      <c r="E1402" s="630" t="s">
        <v>2570</v>
      </c>
      <c r="F1402" s="1119"/>
      <c r="G1402" s="1700"/>
      <c r="H1402" s="1690"/>
      <c r="I1402" s="1690"/>
      <c r="J1402" s="1694"/>
      <c r="K1402" s="1690"/>
      <c r="L1402" s="1692"/>
      <c r="M1402" s="1694"/>
      <c r="N1402" s="328"/>
    </row>
    <row r="1403" spans="2:14" ht="15" thickBot="1">
      <c r="B1403" s="20"/>
      <c r="C1403" s="931" t="s">
        <v>2571</v>
      </c>
      <c r="D1403" s="1118" t="s">
        <v>2378</v>
      </c>
      <c r="E1403" s="629" t="s">
        <v>2572</v>
      </c>
      <c r="F1403" s="1119"/>
      <c r="G1403" s="1151">
        <v>8.4</v>
      </c>
      <c r="H1403" s="1117">
        <v>1</v>
      </c>
      <c r="I1403" s="1128">
        <v>36.167000000000002</v>
      </c>
      <c r="J1403" s="1116">
        <f>M1403/K1403</f>
        <v>117.91500000000001</v>
      </c>
      <c r="K1403" s="1117">
        <v>21</v>
      </c>
      <c r="L1403" s="1114">
        <f>I1403*K1403</f>
        <v>759.50700000000006</v>
      </c>
      <c r="M1403" s="1116">
        <v>2476.2150000000001</v>
      </c>
      <c r="N1403" s="328"/>
    </row>
    <row r="1404" spans="2:14">
      <c r="B1404" s="20"/>
      <c r="C1404" s="938" t="s">
        <v>2573</v>
      </c>
      <c r="D1404" s="1119"/>
      <c r="E1404" s="630" t="s">
        <v>2574</v>
      </c>
      <c r="F1404" s="1119"/>
      <c r="G1404" s="1697"/>
      <c r="H1404" s="1686"/>
      <c r="I1404" s="1686"/>
      <c r="J1404" s="1689"/>
      <c r="K1404" s="1686"/>
      <c r="L1404" s="1687"/>
      <c r="M1404" s="1689"/>
      <c r="N1404" s="328"/>
    </row>
    <row r="1405" spans="2:14">
      <c r="B1405" s="20"/>
      <c r="C1405" s="938" t="s">
        <v>2575</v>
      </c>
      <c r="D1405" s="1119"/>
      <c r="E1405" s="630" t="s">
        <v>2576</v>
      </c>
      <c r="F1405" s="1119"/>
      <c r="G1405" s="1697"/>
      <c r="H1405" s="1686"/>
      <c r="I1405" s="1686"/>
      <c r="J1405" s="1689"/>
      <c r="K1405" s="1686"/>
      <c r="L1405" s="1687"/>
      <c r="M1405" s="1689"/>
      <c r="N1405" s="328"/>
    </row>
    <row r="1406" spans="2:14" ht="15" thickBot="1">
      <c r="B1406" s="20"/>
      <c r="C1406" s="932" t="s">
        <v>2577</v>
      </c>
      <c r="D1406" s="1120"/>
      <c r="E1406" s="631" t="s">
        <v>2578</v>
      </c>
      <c r="F1406" s="1120"/>
      <c r="G1406" s="1700"/>
      <c r="H1406" s="1690"/>
      <c r="I1406" s="1690"/>
      <c r="J1406" s="1694"/>
      <c r="K1406" s="1690"/>
      <c r="L1406" s="1692"/>
      <c r="M1406" s="1694"/>
      <c r="N1406" s="328"/>
    </row>
    <row r="1407" spans="2:14" ht="15" thickBot="1">
      <c r="B1407" s="20"/>
      <c r="C1407" s="256"/>
      <c r="D1407" s="243"/>
      <c r="E1407" s="242"/>
      <c r="F1407" s="256"/>
      <c r="G1407" s="243"/>
      <c r="H1407" s="243"/>
      <c r="I1407" s="328"/>
      <c r="J1407" s="328"/>
      <c r="K1407" s="243"/>
      <c r="L1407" s="328"/>
      <c r="M1407" s="328"/>
      <c r="N1407" s="328"/>
    </row>
    <row r="1408" spans="2:14" ht="24" customHeight="1" thickBot="1">
      <c r="C1408" s="489" t="s">
        <v>2579</v>
      </c>
      <c r="H1408" s="1133" t="s">
        <v>101</v>
      </c>
      <c r="I1408" s="1675"/>
      <c r="J1408" s="1676"/>
      <c r="K1408" s="1133" t="s">
        <v>102</v>
      </c>
      <c r="L1408" s="1675"/>
      <c r="M1408" s="1676"/>
      <c r="N1408" s="26"/>
    </row>
    <row r="1409" spans="2:14" ht="15" customHeight="1" thickBot="1">
      <c r="B1409" s="51"/>
      <c r="C1409" s="474" t="s">
        <v>103</v>
      </c>
      <c r="D1409" s="475" t="s">
        <v>104</v>
      </c>
      <c r="E1409" s="476" t="s">
        <v>105</v>
      </c>
      <c r="F1409" s="477" t="s">
        <v>106</v>
      </c>
      <c r="G1409" s="587" t="s">
        <v>107</v>
      </c>
      <c r="H1409" s="478" t="s">
        <v>108</v>
      </c>
      <c r="I1409" s="479" t="s">
        <v>109</v>
      </c>
      <c r="J1409" s="480" t="s">
        <v>110</v>
      </c>
      <c r="K1409" s="478" t="s">
        <v>111</v>
      </c>
      <c r="L1409" s="479" t="s">
        <v>109</v>
      </c>
      <c r="M1409" s="480" t="s">
        <v>110</v>
      </c>
      <c r="N1409" s="37"/>
    </row>
    <row r="1410" spans="2:14" ht="15" thickBot="1">
      <c r="B1410" s="21" t="s">
        <v>2580</v>
      </c>
      <c r="C1410" s="481" t="s">
        <v>2581</v>
      </c>
      <c r="D1410" s="1475" t="s">
        <v>119</v>
      </c>
      <c r="E1410" s="482" t="s">
        <v>2582</v>
      </c>
      <c r="F1410" s="1475" t="s">
        <v>109</v>
      </c>
      <c r="G1410" s="1407">
        <v>3.54</v>
      </c>
      <c r="H1410" s="1157">
        <v>3</v>
      </c>
      <c r="I1410" s="1139">
        <v>22.96</v>
      </c>
      <c r="J1410" s="1491">
        <v>82.09</v>
      </c>
      <c r="K1410" s="1157">
        <v>35</v>
      </c>
      <c r="L1410" s="1134">
        <v>802.45</v>
      </c>
      <c r="M1410" s="1491">
        <v>2873.33</v>
      </c>
      <c r="N1410" s="355"/>
    </row>
    <row r="1411" spans="2:14">
      <c r="C1411" s="483" t="s">
        <v>2583</v>
      </c>
      <c r="D1411" s="1287"/>
      <c r="E1411" s="483" t="s">
        <v>2584</v>
      </c>
      <c r="F1411" s="1287"/>
      <c r="G1411" s="1697"/>
      <c r="H1411" s="1686"/>
      <c r="I1411" s="1686"/>
      <c r="J1411" s="1689"/>
      <c r="K1411" s="1686"/>
      <c r="L1411" s="1687"/>
      <c r="M1411" s="1689"/>
      <c r="N1411" s="355"/>
    </row>
    <row r="1412" spans="2:14">
      <c r="C1412" s="483" t="s">
        <v>2585</v>
      </c>
      <c r="D1412" s="1287"/>
      <c r="E1412" s="483" t="s">
        <v>2586</v>
      </c>
      <c r="F1412" s="1287"/>
      <c r="G1412" s="1697"/>
      <c r="H1412" s="1686"/>
      <c r="I1412" s="1686"/>
      <c r="J1412" s="1689"/>
      <c r="K1412" s="1686"/>
      <c r="L1412" s="1687"/>
      <c r="M1412" s="1689"/>
      <c r="N1412" s="355"/>
    </row>
    <row r="1413" spans="2:14">
      <c r="C1413" s="483" t="s">
        <v>2587</v>
      </c>
      <c r="D1413" s="1287"/>
      <c r="E1413" s="483" t="s">
        <v>2588</v>
      </c>
      <c r="F1413" s="1287"/>
      <c r="G1413" s="1697"/>
      <c r="H1413" s="1686"/>
      <c r="I1413" s="1686"/>
      <c r="J1413" s="1689"/>
      <c r="K1413" s="1686"/>
      <c r="L1413" s="1687"/>
      <c r="M1413" s="1689"/>
      <c r="N1413" s="355"/>
    </row>
    <row r="1414" spans="2:14">
      <c r="C1414" s="483" t="s">
        <v>2589</v>
      </c>
      <c r="D1414" s="1287"/>
      <c r="E1414" s="483" t="s">
        <v>2590</v>
      </c>
      <c r="F1414" s="1287"/>
      <c r="G1414" s="1697"/>
      <c r="H1414" s="1686"/>
      <c r="I1414" s="1686"/>
      <c r="J1414" s="1689"/>
      <c r="K1414" s="1686"/>
      <c r="L1414" s="1687"/>
      <c r="M1414" s="1689"/>
      <c r="N1414" s="355"/>
    </row>
    <row r="1415" spans="2:14">
      <c r="C1415" s="481" t="s">
        <v>2591</v>
      </c>
      <c r="D1415" s="1287"/>
      <c r="E1415" s="481" t="s">
        <v>2592</v>
      </c>
      <c r="F1415" s="1287"/>
      <c r="G1415" s="1697"/>
      <c r="H1415" s="1686"/>
      <c r="I1415" s="1686"/>
      <c r="J1415" s="1689"/>
      <c r="K1415" s="1686"/>
      <c r="L1415" s="1687"/>
      <c r="M1415" s="1689"/>
      <c r="N1415" s="355"/>
    </row>
    <row r="1416" spans="2:14">
      <c r="C1416" s="481" t="s">
        <v>2593</v>
      </c>
      <c r="D1416" s="1287"/>
      <c r="E1416" s="481" t="s">
        <v>2594</v>
      </c>
      <c r="F1416" s="1287"/>
      <c r="G1416" s="1697"/>
      <c r="H1416" s="1686"/>
      <c r="I1416" s="1686"/>
      <c r="J1416" s="1689"/>
      <c r="K1416" s="1686"/>
      <c r="L1416" s="1687"/>
      <c r="M1416" s="1689"/>
      <c r="N1416" s="355"/>
    </row>
    <row r="1417" spans="2:14">
      <c r="C1417" s="481" t="s">
        <v>2595</v>
      </c>
      <c r="D1417" s="1287"/>
      <c r="E1417" s="481" t="s">
        <v>2596</v>
      </c>
      <c r="F1417" s="1287"/>
      <c r="G1417" s="1697"/>
      <c r="H1417" s="1686"/>
      <c r="I1417" s="1686"/>
      <c r="J1417" s="1689"/>
      <c r="K1417" s="1686"/>
      <c r="L1417" s="1687"/>
      <c r="M1417" s="1689"/>
      <c r="N1417" s="355"/>
    </row>
    <row r="1418" spans="2:14">
      <c r="C1418" s="481" t="s">
        <v>2597</v>
      </c>
      <c r="D1418" s="1287"/>
      <c r="E1418" s="481" t="s">
        <v>2598</v>
      </c>
      <c r="F1418" s="1287"/>
      <c r="G1418" s="1697"/>
      <c r="H1418" s="1686"/>
      <c r="I1418" s="1686"/>
      <c r="J1418" s="1689"/>
      <c r="K1418" s="1686"/>
      <c r="L1418" s="1687"/>
      <c r="M1418" s="1689"/>
      <c r="N1418" s="355"/>
    </row>
    <row r="1419" spans="2:14">
      <c r="C1419" s="481" t="s">
        <v>2599</v>
      </c>
      <c r="D1419" s="1287"/>
      <c r="E1419" s="481" t="s">
        <v>2600</v>
      </c>
      <c r="F1419" s="1287"/>
      <c r="G1419" s="1697"/>
      <c r="H1419" s="1686"/>
      <c r="I1419" s="1686"/>
      <c r="J1419" s="1689"/>
      <c r="K1419" s="1686"/>
      <c r="L1419" s="1687"/>
      <c r="M1419" s="1689"/>
      <c r="N1419" s="355"/>
    </row>
    <row r="1420" spans="2:14">
      <c r="C1420" s="484" t="s">
        <v>2601</v>
      </c>
      <c r="D1420" s="1287"/>
      <c r="E1420" s="484" t="s">
        <v>2602</v>
      </c>
      <c r="F1420" s="1287"/>
      <c r="G1420" s="1697"/>
      <c r="H1420" s="1686"/>
      <c r="I1420" s="1686"/>
      <c r="J1420" s="1689"/>
      <c r="K1420" s="1686"/>
      <c r="L1420" s="1687"/>
      <c r="M1420" s="1689"/>
      <c r="N1420" s="355"/>
    </row>
    <row r="1421" spans="2:14">
      <c r="C1421" s="481" t="s">
        <v>2603</v>
      </c>
      <c r="D1421" s="1287"/>
      <c r="E1421" s="483" t="s">
        <v>2604</v>
      </c>
      <c r="F1421" s="1287"/>
      <c r="G1421" s="1697"/>
      <c r="H1421" s="1686"/>
      <c r="I1421" s="1686"/>
      <c r="J1421" s="1689"/>
      <c r="K1421" s="1686"/>
      <c r="L1421" s="1687"/>
      <c r="M1421" s="1689"/>
      <c r="N1421" s="355"/>
    </row>
    <row r="1422" spans="2:14" ht="15" thickBot="1">
      <c r="C1422" s="484" t="s">
        <v>2605</v>
      </c>
      <c r="D1422" s="1476"/>
      <c r="E1422" s="620" t="s">
        <v>2606</v>
      </c>
      <c r="F1422" s="1476"/>
      <c r="G1422" s="1700"/>
      <c r="H1422" s="1690"/>
      <c r="I1422" s="1690"/>
      <c r="J1422" s="1694"/>
      <c r="K1422" s="1690"/>
      <c r="L1422" s="1692"/>
      <c r="M1422" s="1694"/>
      <c r="N1422" s="355"/>
    </row>
    <row r="1423" spans="2:14" ht="15" thickBot="1">
      <c r="C1423" s="485" t="s">
        <v>2607</v>
      </c>
      <c r="D1423" s="1475" t="s">
        <v>268</v>
      </c>
      <c r="E1423" s="485" t="s">
        <v>2608</v>
      </c>
      <c r="F1423" s="1475" t="s">
        <v>109</v>
      </c>
      <c r="G1423" s="1407">
        <v>4.74</v>
      </c>
      <c r="H1423" s="1157">
        <v>2</v>
      </c>
      <c r="I1423" s="1139">
        <v>30.68</v>
      </c>
      <c r="J1423" s="1491">
        <v>109.59</v>
      </c>
      <c r="K1423" s="1157">
        <v>32</v>
      </c>
      <c r="L1423" s="1321">
        <v>981.67</v>
      </c>
      <c r="M1423" s="1377">
        <v>3506.9373000000001</v>
      </c>
      <c r="N1423" s="355"/>
    </row>
    <row r="1424" spans="2:14">
      <c r="C1424" s="481" t="s">
        <v>2609</v>
      </c>
      <c r="D1424" s="1287"/>
      <c r="E1424" s="481" t="s">
        <v>2610</v>
      </c>
      <c r="F1424" s="1287"/>
      <c r="G1424" s="1697"/>
      <c r="H1424" s="1686"/>
      <c r="I1424" s="1686"/>
      <c r="J1424" s="1689"/>
      <c r="K1424" s="1686"/>
      <c r="L1424" s="1687"/>
      <c r="M1424" s="1689"/>
      <c r="N1424" s="355"/>
    </row>
    <row r="1425" spans="2:14" ht="16.350000000000001" customHeight="1">
      <c r="C1425" s="481" t="s">
        <v>2611</v>
      </c>
      <c r="D1425" s="1287"/>
      <c r="E1425" s="473" t="s">
        <v>2612</v>
      </c>
      <c r="F1425" s="1287"/>
      <c r="G1425" s="1697"/>
      <c r="H1425" s="1686"/>
      <c r="I1425" s="1686"/>
      <c r="J1425" s="1689"/>
      <c r="K1425" s="1686"/>
      <c r="L1425" s="1687"/>
      <c r="M1425" s="1689"/>
      <c r="N1425" s="355"/>
    </row>
    <row r="1426" spans="2:14">
      <c r="C1426" s="481" t="s">
        <v>2613</v>
      </c>
      <c r="D1426" s="1287"/>
      <c r="E1426" s="481" t="s">
        <v>2614</v>
      </c>
      <c r="F1426" s="1287"/>
      <c r="G1426" s="1697"/>
      <c r="H1426" s="1686"/>
      <c r="I1426" s="1686"/>
      <c r="J1426" s="1689"/>
      <c r="K1426" s="1686"/>
      <c r="L1426" s="1687"/>
      <c r="M1426" s="1689"/>
      <c r="N1426" s="355"/>
    </row>
    <row r="1427" spans="2:14">
      <c r="C1427" s="481" t="s">
        <v>2615</v>
      </c>
      <c r="D1427" s="1287"/>
      <c r="E1427" s="481" t="s">
        <v>2616</v>
      </c>
      <c r="F1427" s="1287"/>
      <c r="G1427" s="1697"/>
      <c r="H1427" s="1686"/>
      <c r="I1427" s="1686"/>
      <c r="J1427" s="1689"/>
      <c r="K1427" s="1686"/>
      <c r="L1427" s="1687"/>
      <c r="M1427" s="1689"/>
      <c r="N1427" s="355"/>
    </row>
    <row r="1428" spans="2:14">
      <c r="B1428" s="51"/>
      <c r="C1428" s="473" t="s">
        <v>2617</v>
      </c>
      <c r="D1428" s="1287"/>
      <c r="E1428" s="473" t="s">
        <v>2618</v>
      </c>
      <c r="F1428" s="1287"/>
      <c r="G1428" s="1697"/>
      <c r="H1428" s="1686"/>
      <c r="I1428" s="1686"/>
      <c r="J1428" s="1689"/>
      <c r="K1428" s="1686"/>
      <c r="L1428" s="1687"/>
      <c r="M1428" s="1689"/>
      <c r="N1428" s="355"/>
    </row>
    <row r="1429" spans="2:14">
      <c r="B1429" s="51"/>
      <c r="C1429" s="483" t="s">
        <v>2619</v>
      </c>
      <c r="D1429" s="1287"/>
      <c r="E1429" s="486" t="s">
        <v>2620</v>
      </c>
      <c r="F1429" s="1287"/>
      <c r="G1429" s="1697"/>
      <c r="H1429" s="1686"/>
      <c r="I1429" s="1686"/>
      <c r="J1429" s="1689"/>
      <c r="K1429" s="1686"/>
      <c r="L1429" s="1687"/>
      <c r="M1429" s="1689"/>
      <c r="N1429" s="355"/>
    </row>
    <row r="1430" spans="2:14">
      <c r="B1430" s="51"/>
      <c r="C1430" s="483" t="s">
        <v>2621</v>
      </c>
      <c r="D1430" s="1287"/>
      <c r="E1430" s="486" t="s">
        <v>2622</v>
      </c>
      <c r="F1430" s="1287"/>
      <c r="G1430" s="1697"/>
      <c r="H1430" s="1686"/>
      <c r="I1430" s="1686"/>
      <c r="J1430" s="1689"/>
      <c r="K1430" s="1686"/>
      <c r="L1430" s="1687"/>
      <c r="M1430" s="1689"/>
      <c r="N1430" s="355"/>
    </row>
    <row r="1431" spans="2:14">
      <c r="B1431" s="51"/>
      <c r="C1431" s="487" t="s">
        <v>2623</v>
      </c>
      <c r="D1431" s="1287"/>
      <c r="E1431" s="486" t="s">
        <v>2624</v>
      </c>
      <c r="F1431" s="1287"/>
      <c r="G1431" s="1697"/>
      <c r="H1431" s="1686"/>
      <c r="I1431" s="1686"/>
      <c r="J1431" s="1689"/>
      <c r="K1431" s="1686"/>
      <c r="L1431" s="1687"/>
      <c r="M1431" s="1689"/>
      <c r="N1431" s="355"/>
    </row>
    <row r="1432" spans="2:14">
      <c r="B1432" s="51"/>
      <c r="C1432" s="487" t="s">
        <v>2625</v>
      </c>
      <c r="D1432" s="1287"/>
      <c r="E1432" s="486" t="s">
        <v>2626</v>
      </c>
      <c r="F1432" s="1287"/>
      <c r="G1432" s="1697"/>
      <c r="H1432" s="1686"/>
      <c r="I1432" s="1686"/>
      <c r="J1432" s="1689"/>
      <c r="K1432" s="1686"/>
      <c r="L1432" s="1687"/>
      <c r="M1432" s="1689"/>
      <c r="N1432" s="355"/>
    </row>
    <row r="1433" spans="2:14">
      <c r="B1433" s="51"/>
      <c r="C1433" s="488" t="s">
        <v>2627</v>
      </c>
      <c r="D1433" s="1287"/>
      <c r="E1433" s="486" t="s">
        <v>2628</v>
      </c>
      <c r="F1433" s="1287"/>
      <c r="G1433" s="1697"/>
      <c r="H1433" s="1686"/>
      <c r="I1433" s="1686"/>
      <c r="J1433" s="1689"/>
      <c r="K1433" s="1686"/>
      <c r="L1433" s="1687"/>
      <c r="M1433" s="1689"/>
      <c r="N1433" s="355"/>
    </row>
    <row r="1434" spans="2:14">
      <c r="B1434" s="51"/>
      <c r="C1434" s="488" t="s">
        <v>2629</v>
      </c>
      <c r="D1434" s="1287"/>
      <c r="E1434" s="486" t="s">
        <v>2630</v>
      </c>
      <c r="F1434" s="1287"/>
      <c r="G1434" s="1697"/>
      <c r="H1434" s="1686"/>
      <c r="I1434" s="1686"/>
      <c r="J1434" s="1689"/>
      <c r="K1434" s="1686"/>
      <c r="L1434" s="1687"/>
      <c r="M1434" s="1689"/>
      <c r="N1434" s="355"/>
    </row>
    <row r="1435" spans="2:14">
      <c r="B1435" s="51"/>
      <c r="C1435" s="488" t="s">
        <v>2631</v>
      </c>
      <c r="D1435" s="1287"/>
      <c r="E1435" s="486" t="s">
        <v>2632</v>
      </c>
      <c r="F1435" s="1287"/>
      <c r="G1435" s="1697"/>
      <c r="H1435" s="1686"/>
      <c r="I1435" s="1686"/>
      <c r="J1435" s="1689"/>
      <c r="K1435" s="1686"/>
      <c r="L1435" s="1687"/>
      <c r="M1435" s="1689"/>
      <c r="N1435" s="355"/>
    </row>
    <row r="1436" spans="2:14">
      <c r="B1436" s="51"/>
      <c r="C1436" s="473" t="s">
        <v>2633</v>
      </c>
      <c r="D1436" s="1287"/>
      <c r="E1436" s="481" t="s">
        <v>2634</v>
      </c>
      <c r="F1436" s="1287"/>
      <c r="G1436" s="1697"/>
      <c r="H1436" s="1686"/>
      <c r="I1436" s="1686"/>
      <c r="J1436" s="1689"/>
      <c r="K1436" s="1686"/>
      <c r="L1436" s="1687"/>
      <c r="M1436" s="1689"/>
      <c r="N1436" s="355"/>
    </row>
    <row r="1437" spans="2:14">
      <c r="B1437" s="51"/>
      <c r="C1437" s="473" t="s">
        <v>2635</v>
      </c>
      <c r="D1437" s="1287"/>
      <c r="E1437" s="481" t="s">
        <v>2636</v>
      </c>
      <c r="F1437" s="1287"/>
      <c r="G1437" s="1697"/>
      <c r="H1437" s="1686"/>
      <c r="I1437" s="1686"/>
      <c r="J1437" s="1689"/>
      <c r="K1437" s="1686"/>
      <c r="L1437" s="1687"/>
      <c r="M1437" s="1689"/>
      <c r="N1437" s="355"/>
    </row>
    <row r="1438" spans="2:14">
      <c r="B1438" s="51"/>
      <c r="C1438" s="473" t="s">
        <v>2637</v>
      </c>
      <c r="D1438" s="1287"/>
      <c r="E1438" s="481" t="s">
        <v>2638</v>
      </c>
      <c r="F1438" s="1287"/>
      <c r="G1438" s="1697"/>
      <c r="H1438" s="1686"/>
      <c r="I1438" s="1686"/>
      <c r="J1438" s="1689"/>
      <c r="K1438" s="1686"/>
      <c r="L1438" s="1687"/>
      <c r="M1438" s="1689"/>
      <c r="N1438" s="355"/>
    </row>
    <row r="1439" spans="2:14">
      <c r="B1439" s="51"/>
      <c r="C1439" s="473" t="s">
        <v>2639</v>
      </c>
      <c r="D1439" s="1287"/>
      <c r="E1439" s="481" t="s">
        <v>2640</v>
      </c>
      <c r="F1439" s="1287"/>
      <c r="G1439" s="1697"/>
      <c r="H1439" s="1686"/>
      <c r="I1439" s="1686"/>
      <c r="J1439" s="1689"/>
      <c r="K1439" s="1686"/>
      <c r="L1439" s="1687"/>
      <c r="M1439" s="1689"/>
      <c r="N1439" s="355"/>
    </row>
    <row r="1440" spans="2:14">
      <c r="B1440" s="51"/>
      <c r="C1440" s="473" t="s">
        <v>2641</v>
      </c>
      <c r="D1440" s="1287"/>
      <c r="E1440" s="481" t="s">
        <v>2642</v>
      </c>
      <c r="F1440" s="1287"/>
      <c r="G1440" s="1697"/>
      <c r="H1440" s="1686"/>
      <c r="I1440" s="1686"/>
      <c r="J1440" s="1689"/>
      <c r="K1440" s="1686"/>
      <c r="L1440" s="1687"/>
      <c r="M1440" s="1689"/>
      <c r="N1440" s="355"/>
    </row>
    <row r="1441" spans="2:14">
      <c r="B1441" s="51"/>
      <c r="C1441" s="472" t="s">
        <v>2643</v>
      </c>
      <c r="D1441" s="1287"/>
      <c r="E1441" s="481" t="s">
        <v>2644</v>
      </c>
      <c r="F1441" s="1287"/>
      <c r="G1441" s="1697"/>
      <c r="H1441" s="1686"/>
      <c r="I1441" s="1686"/>
      <c r="J1441" s="1689"/>
      <c r="K1441" s="1686"/>
      <c r="L1441" s="1687"/>
      <c r="M1441" s="1689"/>
      <c r="N1441" s="355"/>
    </row>
    <row r="1442" spans="2:14">
      <c r="B1442" s="51"/>
      <c r="C1442" s="472" t="s">
        <v>2645</v>
      </c>
      <c r="D1442" s="1287"/>
      <c r="E1442" s="481" t="s">
        <v>2646</v>
      </c>
      <c r="F1442" s="1287"/>
      <c r="G1442" s="1697"/>
      <c r="H1442" s="1686"/>
      <c r="I1442" s="1686"/>
      <c r="J1442" s="1689"/>
      <c r="K1442" s="1686"/>
      <c r="L1442" s="1687"/>
      <c r="M1442" s="1689"/>
      <c r="N1442" s="355"/>
    </row>
    <row r="1443" spans="2:14" ht="15" thickBot="1">
      <c r="B1443" s="51"/>
      <c r="C1443" s="621" t="s">
        <v>2647</v>
      </c>
      <c r="D1443" s="1476"/>
      <c r="E1443" s="622" t="s">
        <v>2648</v>
      </c>
      <c r="F1443" s="1476"/>
      <c r="G1443" s="1700"/>
      <c r="H1443" s="1690"/>
      <c r="I1443" s="1690"/>
      <c r="J1443" s="1694"/>
      <c r="K1443" s="1690"/>
      <c r="L1443" s="1692"/>
      <c r="M1443" s="1694"/>
      <c r="N1443" s="355"/>
    </row>
    <row r="1444" spans="2:14" ht="15.95" customHeight="1" thickBot="1">
      <c r="B1444" s="51"/>
      <c r="C1444" s="422" t="s">
        <v>247</v>
      </c>
      <c r="D1444" s="525"/>
      <c r="E1444" s="525"/>
      <c r="F1444" s="525"/>
      <c r="G1444" s="525"/>
      <c r="H1444" s="526"/>
      <c r="I1444" s="526"/>
      <c r="J1444" s="526"/>
      <c r="K1444" s="525"/>
      <c r="L1444" s="525"/>
      <c r="M1444" s="525"/>
      <c r="N1444" s="243"/>
    </row>
    <row r="1445" spans="2:14" ht="24" customHeight="1" thickBot="1">
      <c r="C1445" s="489" t="s">
        <v>2649</v>
      </c>
      <c r="H1445" s="1133" t="s">
        <v>101</v>
      </c>
      <c r="I1445" s="1675"/>
      <c r="J1445" s="1676"/>
      <c r="K1445" s="1133" t="s">
        <v>102</v>
      </c>
      <c r="L1445" s="1675"/>
      <c r="M1445" s="1676"/>
      <c r="N1445" s="26"/>
    </row>
    <row r="1446" spans="2:14" ht="15" customHeight="1">
      <c r="B1446" s="51"/>
      <c r="C1446" s="543" t="s">
        <v>103</v>
      </c>
      <c r="D1446" s="971" t="s">
        <v>104</v>
      </c>
      <c r="E1446" s="544" t="s">
        <v>105</v>
      </c>
      <c r="F1446" s="970" t="s">
        <v>106</v>
      </c>
      <c r="G1446" s="546" t="s">
        <v>107</v>
      </c>
      <c r="H1446" s="1005" t="s">
        <v>108</v>
      </c>
      <c r="I1446" s="968" t="s">
        <v>109</v>
      </c>
      <c r="J1446" s="969" t="s">
        <v>110</v>
      </c>
      <c r="K1446" s="527" t="s">
        <v>111</v>
      </c>
      <c r="L1446" s="528" t="s">
        <v>109</v>
      </c>
      <c r="M1446" s="529" t="s">
        <v>110</v>
      </c>
      <c r="N1446" s="37"/>
    </row>
    <row r="1447" spans="2:14" ht="15" customHeight="1">
      <c r="B1447" s="51"/>
      <c r="C1447" s="939" t="s">
        <v>2650</v>
      </c>
      <c r="D1447" s="1302" t="s">
        <v>2651</v>
      </c>
      <c r="E1447" s="473" t="s">
        <v>2652</v>
      </c>
      <c r="F1447" s="1392" t="s">
        <v>109</v>
      </c>
      <c r="G1447" s="633">
        <v>10.5</v>
      </c>
      <c r="H1447" s="1392">
        <v>1</v>
      </c>
      <c r="I1447" s="1372">
        <v>32.1571</v>
      </c>
      <c r="J1447" s="1372">
        <f>M1447/K1447</f>
        <v>120.172</v>
      </c>
      <c r="K1447" s="1106">
        <v>40</v>
      </c>
      <c r="L1447" s="1108">
        <v>1286.28</v>
      </c>
      <c r="M1447" s="1110">
        <v>4806.88</v>
      </c>
      <c r="N1447" s="328"/>
    </row>
    <row r="1448" spans="2:14" ht="15" customHeight="1">
      <c r="B1448" s="51"/>
      <c r="C1448" s="941" t="s">
        <v>2653</v>
      </c>
      <c r="D1448" s="1303"/>
      <c r="E1448" s="473" t="s">
        <v>2654</v>
      </c>
      <c r="F1448" s="1393"/>
      <c r="G1448" s="634">
        <v>8.4</v>
      </c>
      <c r="H1448" s="1393"/>
      <c r="I1448" s="1373"/>
      <c r="J1448" s="1373"/>
      <c r="K1448" s="1107"/>
      <c r="L1448" s="1109"/>
      <c r="M1448" s="1111"/>
      <c r="N1448" s="328"/>
    </row>
    <row r="1449" spans="2:14" ht="15.95" customHeight="1">
      <c r="B1449" s="51"/>
      <c r="C1449" s="941" t="s">
        <v>2655</v>
      </c>
      <c r="D1449" s="1303"/>
      <c r="E1449" s="473" t="s">
        <v>2656</v>
      </c>
      <c r="F1449" s="1393"/>
      <c r="G1449" s="634">
        <v>8.4</v>
      </c>
      <c r="H1449" s="1393"/>
      <c r="I1449" s="1373"/>
      <c r="J1449" s="1373"/>
      <c r="K1449" s="1107"/>
      <c r="L1449" s="1109"/>
      <c r="M1449" s="1111"/>
      <c r="N1449" s="328"/>
    </row>
    <row r="1450" spans="2:14" ht="15.95" customHeight="1">
      <c r="B1450" s="51"/>
      <c r="C1450" s="941" t="s">
        <v>2657</v>
      </c>
      <c r="D1450" s="1303"/>
      <c r="E1450" s="473" t="s">
        <v>2658</v>
      </c>
      <c r="F1450" s="1393"/>
      <c r="G1450" s="634">
        <v>10.5</v>
      </c>
      <c r="H1450" s="1393"/>
      <c r="I1450" s="1373"/>
      <c r="J1450" s="1373"/>
      <c r="K1450" s="1107"/>
      <c r="L1450" s="1109"/>
      <c r="M1450" s="1111"/>
      <c r="N1450" s="328"/>
    </row>
    <row r="1451" spans="2:14" ht="15.95" customHeight="1">
      <c r="B1451" s="51"/>
      <c r="C1451" s="941" t="s">
        <v>2659</v>
      </c>
      <c r="D1451" s="1303"/>
      <c r="E1451" s="473" t="s">
        <v>2660</v>
      </c>
      <c r="F1451" s="1393"/>
      <c r="G1451" s="634">
        <v>10.5</v>
      </c>
      <c r="H1451" s="1393"/>
      <c r="I1451" s="1373"/>
      <c r="J1451" s="1373"/>
      <c r="K1451" s="1107"/>
      <c r="L1451" s="1109"/>
      <c r="M1451" s="1111"/>
      <c r="N1451" s="328"/>
    </row>
    <row r="1452" spans="2:14" ht="15.95" customHeight="1">
      <c r="B1452" s="51"/>
      <c r="C1452" s="941" t="s">
        <v>2661</v>
      </c>
      <c r="D1452" s="1303"/>
      <c r="E1452" s="473" t="s">
        <v>2662</v>
      </c>
      <c r="F1452" s="1393"/>
      <c r="G1452" s="634">
        <v>10.5</v>
      </c>
      <c r="H1452" s="1393"/>
      <c r="I1452" s="1373"/>
      <c r="J1452" s="1373"/>
      <c r="K1452" s="1107"/>
      <c r="L1452" s="1109"/>
      <c r="M1452" s="1111"/>
      <c r="N1452" s="328"/>
    </row>
    <row r="1453" spans="2:14" ht="15" customHeight="1">
      <c r="B1453" s="602" t="s">
        <v>150</v>
      </c>
      <c r="C1453" s="941" t="s">
        <v>2663</v>
      </c>
      <c r="D1453" s="1303"/>
      <c r="E1453" s="473" t="s">
        <v>2664</v>
      </c>
      <c r="F1453" s="1393"/>
      <c r="G1453" s="634">
        <v>10.5</v>
      </c>
      <c r="H1453" s="1393"/>
      <c r="I1453" s="1396"/>
      <c r="J1453" s="1373"/>
      <c r="K1453" s="1098">
        <v>30</v>
      </c>
      <c r="L1453" s="1099" t="s">
        <v>2665</v>
      </c>
      <c r="M1453" s="1100" t="s">
        <v>2666</v>
      </c>
      <c r="N1453" s="355"/>
    </row>
    <row r="1454" spans="2:14" ht="15.95" customHeight="1">
      <c r="B1454" s="51"/>
      <c r="C1454" s="941" t="s">
        <v>2667</v>
      </c>
      <c r="D1454" s="1512"/>
      <c r="E1454" s="473" t="s">
        <v>2668</v>
      </c>
      <c r="F1454" s="1394"/>
      <c r="G1454" s="586">
        <v>10.5</v>
      </c>
      <c r="H1454" s="1394"/>
      <c r="I1454" s="1397"/>
      <c r="J1454" s="1374"/>
      <c r="K1454" s="1101">
        <v>40</v>
      </c>
      <c r="L1454" s="1100">
        <v>1286.28</v>
      </c>
      <c r="M1454" s="1102">
        <v>4806.88</v>
      </c>
      <c r="N1454" s="355"/>
    </row>
    <row r="1455" spans="2:14" ht="14.1" customHeight="1">
      <c r="B1455" s="986"/>
      <c r="C1455" s="941" t="s">
        <v>2571</v>
      </c>
      <c r="D1455" s="1118" t="s">
        <v>2378</v>
      </c>
      <c r="E1455" s="629" t="s">
        <v>2572</v>
      </c>
      <c r="F1455" s="1302" t="s">
        <v>109</v>
      </c>
      <c r="G1455" s="1273">
        <v>8.4</v>
      </c>
      <c r="H1455" s="1130">
        <v>1</v>
      </c>
      <c r="I1455" s="1128">
        <v>36.167000000000002</v>
      </c>
      <c r="J1455" s="1116">
        <f>M1455/K1455</f>
        <v>117.91500000000001</v>
      </c>
      <c r="K1455" s="1117">
        <v>21</v>
      </c>
      <c r="L1455" s="1114">
        <f>I1455*K1455</f>
        <v>759.50700000000006</v>
      </c>
      <c r="M1455" s="1116">
        <v>2476.2150000000001</v>
      </c>
      <c r="N1455" s="355"/>
    </row>
    <row r="1456" spans="2:14" ht="14.1" customHeight="1">
      <c r="B1456" s="986"/>
      <c r="C1456" s="941" t="s">
        <v>2573</v>
      </c>
      <c r="D1456" s="1119"/>
      <c r="E1456" s="630" t="s">
        <v>2574</v>
      </c>
      <c r="F1456" s="1303"/>
      <c r="G1456" s="1697"/>
      <c r="H1456" s="1697"/>
      <c r="I1456" s="1686"/>
      <c r="J1456" s="1689"/>
      <c r="K1456" s="1686"/>
      <c r="L1456" s="1687"/>
      <c r="M1456" s="1689"/>
      <c r="N1456" s="355"/>
    </row>
    <row r="1457" spans="2:14" ht="14.1" customHeight="1">
      <c r="B1457" s="986"/>
      <c r="C1457" s="941" t="s">
        <v>2575</v>
      </c>
      <c r="D1457" s="1119"/>
      <c r="E1457" s="630" t="s">
        <v>2576</v>
      </c>
      <c r="F1457" s="1303"/>
      <c r="G1457" s="1697"/>
      <c r="H1457" s="1697"/>
      <c r="I1457" s="1686"/>
      <c r="J1457" s="1689"/>
      <c r="K1457" s="1686"/>
      <c r="L1457" s="1687"/>
      <c r="M1457" s="1689"/>
      <c r="N1457" s="355"/>
    </row>
    <row r="1458" spans="2:14" ht="15" thickBot="1">
      <c r="B1458" s="986"/>
      <c r="C1458" s="941" t="s">
        <v>2577</v>
      </c>
      <c r="D1458" s="1119"/>
      <c r="E1458" s="630" t="s">
        <v>2578</v>
      </c>
      <c r="F1458" s="1303"/>
      <c r="G1458" s="1697"/>
      <c r="H1458" s="1697"/>
      <c r="I1458" s="1686"/>
      <c r="J1458" s="1689"/>
      <c r="K1458" s="1686"/>
      <c r="L1458" s="1687"/>
      <c r="M1458" s="1689"/>
      <c r="N1458" s="355"/>
    </row>
    <row r="1459" spans="2:14" ht="15" thickBot="1">
      <c r="B1459" s="602" t="s">
        <v>150</v>
      </c>
      <c r="C1459" s="1020" t="s">
        <v>2377</v>
      </c>
      <c r="D1459" s="1119"/>
      <c r="E1459" s="1022" t="s">
        <v>2379</v>
      </c>
      <c r="F1459" s="1303"/>
      <c r="G1459" s="1697"/>
      <c r="H1459" s="1697"/>
      <c r="I1459" s="1686"/>
      <c r="J1459" s="1689"/>
      <c r="K1459" s="1686"/>
      <c r="L1459" s="1687"/>
      <c r="M1459" s="1689"/>
      <c r="N1459" s="355"/>
    </row>
    <row r="1460" spans="2:14" ht="15" thickBot="1">
      <c r="B1460" s="602" t="s">
        <v>150</v>
      </c>
      <c r="C1460" s="1020" t="s">
        <v>2380</v>
      </c>
      <c r="D1460" s="1119"/>
      <c r="E1460" s="203" t="s">
        <v>2381</v>
      </c>
      <c r="F1460" s="1303"/>
      <c r="G1460" s="1697"/>
      <c r="H1460" s="1697"/>
      <c r="I1460" s="1686"/>
      <c r="J1460" s="1689"/>
      <c r="K1460" s="1686"/>
      <c r="L1460" s="1687"/>
      <c r="M1460" s="1689"/>
      <c r="N1460" s="355"/>
    </row>
    <row r="1461" spans="2:14" ht="15" thickBot="1">
      <c r="B1461" s="602" t="s">
        <v>150</v>
      </c>
      <c r="C1461" s="1021" t="s">
        <v>2382</v>
      </c>
      <c r="D1461" s="1120"/>
      <c r="E1461" s="1023" t="s">
        <v>2383</v>
      </c>
      <c r="F1461" s="1304"/>
      <c r="G1461" s="1719"/>
      <c r="H1461" s="1700"/>
      <c r="I1461" s="1690"/>
      <c r="J1461" s="1694"/>
      <c r="K1461" s="1690"/>
      <c r="L1461" s="1692"/>
      <c r="M1461" s="1694"/>
      <c r="N1461" s="355"/>
    </row>
    <row r="1462" spans="2:14">
      <c r="B1462" s="987"/>
      <c r="C1462" s="941" t="s">
        <v>2669</v>
      </c>
      <c r="D1462" s="1302" t="s">
        <v>2670</v>
      </c>
      <c r="E1462" s="940" t="s">
        <v>2671</v>
      </c>
      <c r="F1462" s="1286" t="s">
        <v>109</v>
      </c>
      <c r="G1462" s="1234">
        <v>10.8</v>
      </c>
      <c r="H1462" s="1350">
        <v>1</v>
      </c>
      <c r="I1462" s="1132">
        <v>27.555599999999998</v>
      </c>
      <c r="J1462" s="1438">
        <f>M1462/K1462</f>
        <v>47.5</v>
      </c>
      <c r="K1462" s="1350">
        <v>72</v>
      </c>
      <c r="L1462" s="1427">
        <v>1984.0032000000001</v>
      </c>
      <c r="M1462" s="1438">
        <v>3420</v>
      </c>
      <c r="N1462" s="355"/>
    </row>
    <row r="1463" spans="2:14">
      <c r="B1463" s="51"/>
      <c r="C1463" s="941" t="s">
        <v>2672</v>
      </c>
      <c r="D1463" s="1303"/>
      <c r="E1463" s="473" t="s">
        <v>2673</v>
      </c>
      <c r="F1463" s="1287"/>
      <c r="G1463" s="1697"/>
      <c r="H1463" s="1686"/>
      <c r="I1463" s="1686"/>
      <c r="J1463" s="1689"/>
      <c r="K1463" s="1686"/>
      <c r="L1463" s="1687"/>
      <c r="M1463" s="1689"/>
      <c r="N1463" s="355"/>
    </row>
    <row r="1464" spans="2:14">
      <c r="B1464" s="51"/>
      <c r="C1464" s="941" t="s">
        <v>2674</v>
      </c>
      <c r="D1464" s="1303"/>
      <c r="E1464" s="473" t="s">
        <v>2675</v>
      </c>
      <c r="F1464" s="1287"/>
      <c r="G1464" s="1697"/>
      <c r="H1464" s="1686"/>
      <c r="I1464" s="1686"/>
      <c r="J1464" s="1689"/>
      <c r="K1464" s="1686"/>
      <c r="L1464" s="1687"/>
      <c r="M1464" s="1689"/>
      <c r="N1464" s="355"/>
    </row>
    <row r="1465" spans="2:14">
      <c r="B1465" s="51"/>
      <c r="C1465" s="941" t="s">
        <v>2676</v>
      </c>
      <c r="D1465" s="1303"/>
      <c r="E1465" s="473" t="s">
        <v>2677</v>
      </c>
      <c r="F1465" s="1287"/>
      <c r="G1465" s="1697"/>
      <c r="H1465" s="1686"/>
      <c r="I1465" s="1686"/>
      <c r="J1465" s="1689"/>
      <c r="K1465" s="1686"/>
      <c r="L1465" s="1687"/>
      <c r="M1465" s="1689"/>
      <c r="N1465" s="355"/>
    </row>
    <row r="1466" spans="2:14">
      <c r="B1466" s="51"/>
      <c r="C1466" s="941" t="s">
        <v>2678</v>
      </c>
      <c r="D1466" s="1303"/>
      <c r="E1466" s="473" t="s">
        <v>2679</v>
      </c>
      <c r="F1466" s="1287"/>
      <c r="G1466" s="1719"/>
      <c r="H1466" s="1686"/>
      <c r="I1466" s="1691"/>
      <c r="J1466" s="1689"/>
      <c r="K1466" s="1686"/>
      <c r="L1466" s="1687"/>
      <c r="M1466" s="1689"/>
      <c r="N1466" s="355"/>
    </row>
    <row r="1467" spans="2:14">
      <c r="B1467" s="51"/>
      <c r="C1467" s="941" t="s">
        <v>2680</v>
      </c>
      <c r="D1467" s="1573" t="s">
        <v>2681</v>
      </c>
      <c r="E1467" s="473" t="s">
        <v>2682</v>
      </c>
      <c r="F1467" s="1168" t="s">
        <v>109</v>
      </c>
      <c r="G1467" s="1315">
        <v>14.1</v>
      </c>
      <c r="H1467" s="1168">
        <v>1</v>
      </c>
      <c r="I1467" s="1307">
        <v>55.11</v>
      </c>
      <c r="J1467" s="1307">
        <f>M1467/K1467</f>
        <v>196.26</v>
      </c>
      <c r="K1467" s="1168">
        <v>36</v>
      </c>
      <c r="L1467" s="1307">
        <v>1984</v>
      </c>
      <c r="M1467" s="1307">
        <v>7065.36</v>
      </c>
      <c r="N1467" s="355"/>
    </row>
    <row r="1468" spans="2:14">
      <c r="B1468" s="51"/>
      <c r="C1468" s="941" t="s">
        <v>2683</v>
      </c>
      <c r="D1468" s="1573"/>
      <c r="E1468" s="473" t="s">
        <v>2684</v>
      </c>
      <c r="F1468" s="1168"/>
      <c r="G1468" s="1687"/>
      <c r="H1468" s="1687"/>
      <c r="I1468" s="1687"/>
      <c r="J1468" s="1687"/>
      <c r="K1468" s="1687"/>
      <c r="L1468" s="1687"/>
      <c r="M1468" s="1687"/>
      <c r="N1468" s="355"/>
    </row>
    <row r="1469" spans="2:14">
      <c r="B1469" s="51"/>
      <c r="C1469" s="941" t="s">
        <v>2685</v>
      </c>
      <c r="D1469" s="1573"/>
      <c r="E1469" s="473" t="s">
        <v>2686</v>
      </c>
      <c r="F1469" s="1168"/>
      <c r="G1469" s="1687"/>
      <c r="H1469" s="1687"/>
      <c r="I1469" s="1687"/>
      <c r="J1469" s="1687"/>
      <c r="K1469" s="1687"/>
      <c r="L1469" s="1687"/>
      <c r="M1469" s="1687"/>
      <c r="N1469" s="328"/>
    </row>
    <row r="1470" spans="2:14">
      <c r="B1470" s="51"/>
      <c r="C1470" s="941" t="s">
        <v>2687</v>
      </c>
      <c r="D1470" s="1573"/>
      <c r="E1470" s="473" t="s">
        <v>2688</v>
      </c>
      <c r="F1470" s="1168"/>
      <c r="G1470" s="1687"/>
      <c r="H1470" s="1687"/>
      <c r="I1470" s="1687"/>
      <c r="J1470" s="1687"/>
      <c r="K1470" s="1687"/>
      <c r="L1470" s="1687"/>
      <c r="M1470" s="1687"/>
      <c r="N1470" s="328"/>
    </row>
    <row r="1471" spans="2:14" ht="15" thickBot="1">
      <c r="B1471" s="51"/>
      <c r="C1471" s="941" t="s">
        <v>2689</v>
      </c>
      <c r="D1471" s="1573"/>
      <c r="E1471" s="473" t="s">
        <v>2690</v>
      </c>
      <c r="F1471" s="1168"/>
      <c r="G1471" s="1718"/>
      <c r="H1471" s="1687"/>
      <c r="I1471" s="1687"/>
      <c r="J1471" s="1687"/>
      <c r="K1471" s="1687"/>
      <c r="L1471" s="1687"/>
      <c r="M1471" s="1687"/>
      <c r="N1471" s="328"/>
    </row>
    <row r="1472" spans="2:14" ht="15" thickBot="1">
      <c r="B1472" s="602" t="s">
        <v>150</v>
      </c>
      <c r="C1472" s="941" t="s">
        <v>2691</v>
      </c>
      <c r="D1472" s="1573"/>
      <c r="E1472" s="473" t="s">
        <v>2692</v>
      </c>
      <c r="F1472" s="1168"/>
      <c r="G1472" s="1188">
        <v>17.7</v>
      </c>
      <c r="H1472" s="1687"/>
      <c r="I1472" s="1687"/>
      <c r="J1472" s="1687"/>
      <c r="K1472" s="1687"/>
      <c r="L1472" s="1687"/>
      <c r="M1472" s="1687"/>
      <c r="N1472" s="328"/>
    </row>
    <row r="1473" spans="2:14" ht="15" thickBot="1">
      <c r="B1473" s="602" t="s">
        <v>150</v>
      </c>
      <c r="C1473" s="941" t="s">
        <v>2693</v>
      </c>
      <c r="D1473" s="1573"/>
      <c r="E1473" s="473" t="s">
        <v>2694</v>
      </c>
      <c r="F1473" s="1168"/>
      <c r="G1473" s="1687"/>
      <c r="H1473" s="1687"/>
      <c r="I1473" s="1687"/>
      <c r="J1473" s="1687"/>
      <c r="K1473" s="1687"/>
      <c r="L1473" s="1687"/>
      <c r="M1473" s="1687"/>
      <c r="N1473" s="328"/>
    </row>
    <row r="1474" spans="2:14" ht="15" thickBot="1">
      <c r="B1474" s="602" t="s">
        <v>150</v>
      </c>
      <c r="C1474" s="941" t="s">
        <v>2695</v>
      </c>
      <c r="D1474" s="1573"/>
      <c r="E1474" s="473" t="s">
        <v>2696</v>
      </c>
      <c r="F1474" s="1168"/>
      <c r="G1474" s="1315">
        <v>16.5</v>
      </c>
      <c r="H1474" s="1687"/>
      <c r="I1474" s="1687"/>
      <c r="J1474" s="1687"/>
      <c r="K1474" s="1687"/>
      <c r="L1474" s="1687"/>
      <c r="M1474" s="1687"/>
      <c r="N1474" s="328"/>
    </row>
    <row r="1475" spans="2:14" ht="15" thickBot="1">
      <c r="B1475" s="602" t="s">
        <v>150</v>
      </c>
      <c r="C1475" s="941" t="s">
        <v>2697</v>
      </c>
      <c r="D1475" s="1573"/>
      <c r="E1475" s="473" t="s">
        <v>2698</v>
      </c>
      <c r="F1475" s="1168"/>
      <c r="G1475" s="1687"/>
      <c r="H1475" s="1687"/>
      <c r="I1475" s="1687"/>
      <c r="J1475" s="1687"/>
      <c r="K1475" s="1687"/>
      <c r="L1475" s="1687"/>
      <c r="M1475" s="1687"/>
      <c r="N1475" s="328"/>
    </row>
    <row r="1476" spans="2:14" ht="15" thickBot="1">
      <c r="B1476" s="602" t="s">
        <v>150</v>
      </c>
      <c r="C1476" s="941" t="s">
        <v>2699</v>
      </c>
      <c r="D1476" s="1573"/>
      <c r="E1476" s="473" t="s">
        <v>2700</v>
      </c>
      <c r="F1476" s="1168"/>
      <c r="G1476" s="1687"/>
      <c r="H1476" s="1687"/>
      <c r="I1476" s="1687"/>
      <c r="J1476" s="1687"/>
      <c r="K1476" s="1687"/>
      <c r="L1476" s="1687"/>
      <c r="M1476" s="1687"/>
      <c r="N1476" s="328"/>
    </row>
    <row r="1477" spans="2:14" ht="15" thickBot="1">
      <c r="B1477" s="602" t="s">
        <v>150</v>
      </c>
      <c r="C1477" s="941" t="s">
        <v>2701</v>
      </c>
      <c r="D1477" s="1573"/>
      <c r="E1477" s="473" t="s">
        <v>2702</v>
      </c>
      <c r="F1477" s="1168"/>
      <c r="G1477" s="1687"/>
      <c r="H1477" s="1687"/>
      <c r="I1477" s="1687"/>
      <c r="J1477" s="1687"/>
      <c r="K1477" s="1687"/>
      <c r="L1477" s="1687"/>
      <c r="M1477" s="1687"/>
      <c r="N1477" s="328"/>
    </row>
    <row r="1478" spans="2:14" ht="15" thickBot="1">
      <c r="B1478" s="602" t="s">
        <v>150</v>
      </c>
      <c r="C1478" s="941" t="s">
        <v>2703</v>
      </c>
      <c r="D1478" s="1573"/>
      <c r="E1478" s="473" t="s">
        <v>2704</v>
      </c>
      <c r="F1478" s="1168"/>
      <c r="G1478" s="1687"/>
      <c r="H1478" s="1687"/>
      <c r="I1478" s="1687"/>
      <c r="J1478" s="1687"/>
      <c r="K1478" s="1687"/>
      <c r="L1478" s="1687"/>
      <c r="M1478" s="1687"/>
      <c r="N1478" s="328"/>
    </row>
    <row r="1479" spans="2:14" ht="15" thickBot="1">
      <c r="B1479" s="602" t="s">
        <v>150</v>
      </c>
      <c r="C1479" s="941" t="s">
        <v>2705</v>
      </c>
      <c r="D1479" s="1573"/>
      <c r="E1479" s="473" t="s">
        <v>2706</v>
      </c>
      <c r="F1479" s="1168"/>
      <c r="G1479" s="1687"/>
      <c r="H1479" s="1687"/>
      <c r="I1479" s="1687"/>
      <c r="J1479" s="1687"/>
      <c r="K1479" s="1687"/>
      <c r="L1479" s="1687"/>
      <c r="M1479" s="1687"/>
      <c r="N1479" s="328"/>
    </row>
    <row r="1480" spans="2:14" ht="15" thickBot="1">
      <c r="B1480" s="602" t="s">
        <v>150</v>
      </c>
      <c r="C1480" s="941" t="s">
        <v>2707</v>
      </c>
      <c r="D1480" s="1573"/>
      <c r="E1480" s="473" t="s">
        <v>2708</v>
      </c>
      <c r="F1480" s="1168"/>
      <c r="G1480" s="1687"/>
      <c r="H1480" s="1687"/>
      <c r="I1480" s="1687"/>
      <c r="J1480" s="1687"/>
      <c r="K1480" s="1687"/>
      <c r="L1480" s="1687"/>
      <c r="M1480" s="1687"/>
      <c r="N1480" s="328"/>
    </row>
    <row r="1481" spans="2:14" ht="15" thickBot="1">
      <c r="B1481" s="602" t="s">
        <v>150</v>
      </c>
      <c r="C1481" s="941" t="s">
        <v>2709</v>
      </c>
      <c r="D1481" s="1573"/>
      <c r="E1481" s="473" t="s">
        <v>2710</v>
      </c>
      <c r="F1481" s="1168"/>
      <c r="G1481" s="1718"/>
      <c r="H1481" s="1718"/>
      <c r="I1481" s="1718"/>
      <c r="J1481" s="1718"/>
      <c r="K1481" s="1718"/>
      <c r="L1481" s="1718"/>
      <c r="M1481" s="1718"/>
      <c r="N1481" s="328"/>
    </row>
    <row r="1482" spans="2:14" ht="15.95" customHeight="1" thickBot="1">
      <c r="B1482" s="51"/>
      <c r="C1482" s="1463" t="s">
        <v>2711</v>
      </c>
      <c r="D1482" s="1726"/>
      <c r="E1482" s="1726"/>
      <c r="F1482" s="1726"/>
      <c r="G1482" s="1726"/>
      <c r="H1482" s="1726"/>
      <c r="I1482" s="1726"/>
      <c r="J1482" s="1726"/>
      <c r="K1482" s="1726"/>
      <c r="L1482" s="1726"/>
      <c r="M1482" s="1727"/>
      <c r="N1482" s="243"/>
    </row>
    <row r="1483" spans="2:14" ht="15" customHeight="1" thickBot="1">
      <c r="C1483" s="422"/>
      <c r="D1483" s="243"/>
      <c r="E1483" s="242"/>
      <c r="F1483" s="243"/>
      <c r="G1483" s="243"/>
      <c r="H1483" s="243"/>
      <c r="I1483" s="328"/>
      <c r="J1483" s="328"/>
      <c r="K1483" s="243"/>
      <c r="L1483" s="328"/>
      <c r="M1483" s="328"/>
      <c r="N1483" s="328"/>
    </row>
    <row r="1484" spans="2:14" ht="32.1" customHeight="1" thickBot="1">
      <c r="B1484" s="51"/>
      <c r="C1484" s="54" t="s">
        <v>2712</v>
      </c>
      <c r="E1484" s="22"/>
      <c r="H1484" s="1133" t="s">
        <v>101</v>
      </c>
      <c r="I1484" s="1675"/>
      <c r="J1484" s="1676"/>
      <c r="K1484" s="1133" t="s">
        <v>102</v>
      </c>
      <c r="L1484" s="1675"/>
      <c r="M1484" s="1676"/>
      <c r="N1484" s="26"/>
    </row>
    <row r="1485" spans="2:14" ht="15" customHeight="1" thickBot="1">
      <c r="C1485" s="29" t="s">
        <v>103</v>
      </c>
      <c r="D1485" s="31" t="s">
        <v>104</v>
      </c>
      <c r="E1485" s="42" t="s">
        <v>105</v>
      </c>
      <c r="F1485" s="31" t="s">
        <v>106</v>
      </c>
      <c r="G1485" s="32" t="s">
        <v>107</v>
      </c>
      <c r="H1485" s="43" t="s">
        <v>108</v>
      </c>
      <c r="I1485" s="44" t="s">
        <v>109</v>
      </c>
      <c r="J1485" s="193" t="s">
        <v>110</v>
      </c>
      <c r="K1485" s="43" t="s">
        <v>111</v>
      </c>
      <c r="L1485" s="44" t="s">
        <v>109</v>
      </c>
      <c r="M1485" s="55" t="s">
        <v>110</v>
      </c>
      <c r="N1485" s="37"/>
    </row>
    <row r="1486" spans="2:14" ht="15" thickBot="1">
      <c r="B1486" s="21" t="s">
        <v>213</v>
      </c>
      <c r="C1486" s="309" t="s">
        <v>2713</v>
      </c>
      <c r="D1486" s="1231" t="s">
        <v>2714</v>
      </c>
      <c r="E1486" s="228" t="s">
        <v>2715</v>
      </c>
      <c r="F1486" s="1162" t="s">
        <v>109</v>
      </c>
      <c r="G1486" s="1391">
        <v>4.5</v>
      </c>
      <c r="H1486" s="1300">
        <v>30</v>
      </c>
      <c r="I1486" s="1159">
        <v>5.38</v>
      </c>
      <c r="J1486" s="1135">
        <v>18.12</v>
      </c>
      <c r="K1486" s="1112">
        <v>120</v>
      </c>
      <c r="L1486" s="1113">
        <v>645.83519999999999</v>
      </c>
      <c r="M1486" s="1136">
        <v>2174.4</v>
      </c>
      <c r="N1486" s="355"/>
    </row>
    <row r="1487" spans="2:14">
      <c r="B1487" s="189"/>
      <c r="C1487" s="316" t="s">
        <v>2716</v>
      </c>
      <c r="D1487" s="1232"/>
      <c r="E1487" s="105" t="s">
        <v>2717</v>
      </c>
      <c r="F1487" s="1164"/>
      <c r="G1487" s="1719"/>
      <c r="H1487" s="1686"/>
      <c r="I1487" s="1686"/>
      <c r="J1487" s="1689"/>
      <c r="K1487" s="1686"/>
      <c r="L1487" s="1687"/>
      <c r="M1487" s="1689"/>
      <c r="N1487" s="355"/>
    </row>
    <row r="1488" spans="2:14" ht="15" thickBot="1">
      <c r="C1488" s="316" t="s">
        <v>2718</v>
      </c>
      <c r="D1488" s="1232"/>
      <c r="E1488" s="105" t="s">
        <v>2719</v>
      </c>
      <c r="F1488" s="1164"/>
      <c r="G1488" s="1344">
        <v>4.5</v>
      </c>
      <c r="H1488" s="1686"/>
      <c r="I1488" s="1686"/>
      <c r="J1488" s="1689"/>
      <c r="K1488" s="1686"/>
      <c r="L1488" s="1687"/>
      <c r="M1488" s="1689"/>
      <c r="N1488" s="355"/>
    </row>
    <row r="1489" spans="1:14">
      <c r="C1489" s="316" t="s">
        <v>2720</v>
      </c>
      <c r="D1489" s="1232"/>
      <c r="E1489" s="105" t="s">
        <v>2721</v>
      </c>
      <c r="F1489" s="1164"/>
      <c r="G1489" s="1697"/>
      <c r="H1489" s="1686"/>
      <c r="I1489" s="1686"/>
      <c r="J1489" s="1689"/>
      <c r="K1489" s="1686"/>
      <c r="L1489" s="1687"/>
      <c r="M1489" s="1689"/>
      <c r="N1489" s="355"/>
    </row>
    <row r="1490" spans="1:14">
      <c r="C1490" s="316" t="s">
        <v>2722</v>
      </c>
      <c r="D1490" s="1232"/>
      <c r="E1490" s="105" t="s">
        <v>2723</v>
      </c>
      <c r="F1490" s="1164"/>
      <c r="G1490" s="1697"/>
      <c r="H1490" s="1686"/>
      <c r="I1490" s="1686"/>
      <c r="J1490" s="1689"/>
      <c r="K1490" s="1686"/>
      <c r="L1490" s="1687"/>
      <c r="M1490" s="1689"/>
      <c r="N1490" s="355"/>
    </row>
    <row r="1491" spans="1:14" ht="15" thickBot="1">
      <c r="C1491" s="317" t="s">
        <v>2724</v>
      </c>
      <c r="D1491" s="1233"/>
      <c r="E1491" s="107" t="s">
        <v>2725</v>
      </c>
      <c r="F1491" s="1163"/>
      <c r="G1491" s="1700"/>
      <c r="H1491" s="1691"/>
      <c r="I1491" s="1690"/>
      <c r="J1491" s="1705"/>
      <c r="K1491" s="1690"/>
      <c r="L1491" s="1692"/>
      <c r="M1491" s="1694"/>
      <c r="N1491" s="355"/>
    </row>
    <row r="1492" spans="1:14" ht="15" thickBot="1">
      <c r="C1492" s="309" t="s">
        <v>2726</v>
      </c>
      <c r="D1492" s="1231" t="s">
        <v>2727</v>
      </c>
      <c r="E1492" s="228" t="s">
        <v>2728</v>
      </c>
      <c r="F1492" s="1162" t="s">
        <v>109</v>
      </c>
      <c r="G1492" s="1391">
        <v>5.0999999999999996</v>
      </c>
      <c r="H1492" s="1300">
        <v>60</v>
      </c>
      <c r="I1492" s="1159">
        <v>5.38</v>
      </c>
      <c r="J1492" s="1135">
        <v>15.54</v>
      </c>
      <c r="K1492" s="1112">
        <v>120</v>
      </c>
      <c r="L1492" s="1113">
        <v>645.83519999999999</v>
      </c>
      <c r="M1492" s="1136">
        <v>1864.8</v>
      </c>
      <c r="N1492" s="355"/>
    </row>
    <row r="1493" spans="1:14">
      <c r="C1493" s="316" t="s">
        <v>2729</v>
      </c>
      <c r="D1493" s="1232"/>
      <c r="E1493" s="105" t="s">
        <v>2730</v>
      </c>
      <c r="F1493" s="1164"/>
      <c r="G1493" s="1719"/>
      <c r="H1493" s="1686"/>
      <c r="I1493" s="1686"/>
      <c r="J1493" s="1689"/>
      <c r="K1493" s="1686"/>
      <c r="L1493" s="1687"/>
      <c r="M1493" s="1689"/>
      <c r="N1493" s="355"/>
    </row>
    <row r="1494" spans="1:14" ht="15" thickBot="1">
      <c r="C1494" s="317" t="s">
        <v>2731</v>
      </c>
      <c r="D1494" s="1232"/>
      <c r="E1494" s="105" t="s">
        <v>2732</v>
      </c>
      <c r="F1494" s="1164"/>
      <c r="G1494" s="1344">
        <v>5.7</v>
      </c>
      <c r="H1494" s="1686"/>
      <c r="I1494" s="1686"/>
      <c r="J1494" s="1689"/>
      <c r="K1494" s="1686"/>
      <c r="L1494" s="1687"/>
      <c r="M1494" s="1689"/>
      <c r="N1494" s="355"/>
    </row>
    <row r="1495" spans="1:14">
      <c r="C1495" s="316" t="s">
        <v>2733</v>
      </c>
      <c r="D1495" s="1232"/>
      <c r="E1495" s="105" t="s">
        <v>2734</v>
      </c>
      <c r="F1495" s="1164"/>
      <c r="G1495" s="1697"/>
      <c r="H1495" s="1686"/>
      <c r="I1495" s="1686"/>
      <c r="J1495" s="1689"/>
      <c r="K1495" s="1686"/>
      <c r="L1495" s="1687"/>
      <c r="M1495" s="1689"/>
      <c r="N1495" s="355"/>
    </row>
    <row r="1496" spans="1:14">
      <c r="C1496" s="316" t="s">
        <v>2735</v>
      </c>
      <c r="D1496" s="1232"/>
      <c r="E1496" s="105" t="s">
        <v>2736</v>
      </c>
      <c r="F1496" s="1164"/>
      <c r="G1496" s="1697"/>
      <c r="H1496" s="1686"/>
      <c r="I1496" s="1686"/>
      <c r="J1496" s="1689"/>
      <c r="K1496" s="1686"/>
      <c r="L1496" s="1687"/>
      <c r="M1496" s="1689"/>
      <c r="N1496" s="355"/>
    </row>
    <row r="1497" spans="1:14" ht="15" thickBot="1">
      <c r="C1497" s="317" t="s">
        <v>2737</v>
      </c>
      <c r="D1497" s="1233"/>
      <c r="E1497" s="107" t="s">
        <v>2738</v>
      </c>
      <c r="F1497" s="1163"/>
      <c r="G1497" s="1700"/>
      <c r="H1497" s="1691"/>
      <c r="I1497" s="1690"/>
      <c r="J1497" s="1705"/>
      <c r="K1497" s="1690"/>
      <c r="L1497" s="1692"/>
      <c r="M1497" s="1694"/>
      <c r="N1497" s="355"/>
    </row>
    <row r="1498" spans="1:14" ht="15" thickBot="1">
      <c r="B1498" s="21" t="s">
        <v>326</v>
      </c>
      <c r="C1498" s="312" t="s">
        <v>2739</v>
      </c>
      <c r="D1498" s="310" t="s">
        <v>2740</v>
      </c>
      <c r="E1498" s="228" t="s">
        <v>2741</v>
      </c>
      <c r="F1498" s="413" t="s">
        <v>108</v>
      </c>
      <c r="G1498" s="588">
        <v>5.0999999999999996</v>
      </c>
      <c r="H1498" s="382">
        <v>30</v>
      </c>
      <c r="I1498" s="383">
        <v>5.38</v>
      </c>
      <c r="J1498" s="384">
        <v>18.12</v>
      </c>
      <c r="K1498" s="382">
        <v>120</v>
      </c>
      <c r="L1498" s="383">
        <v>645.84</v>
      </c>
      <c r="M1498" s="384">
        <v>2174.4</v>
      </c>
      <c r="N1498" s="355"/>
    </row>
    <row r="1499" spans="1:14" ht="15" thickBot="1">
      <c r="C1499" s="322" t="s">
        <v>2742</v>
      </c>
      <c r="D1499" s="1231" t="s">
        <v>2743</v>
      </c>
      <c r="E1499" s="228" t="s">
        <v>2744</v>
      </c>
      <c r="F1499" s="1162" t="s">
        <v>108</v>
      </c>
      <c r="G1499" s="1391">
        <v>5.09</v>
      </c>
      <c r="H1499" s="1300">
        <v>60</v>
      </c>
      <c r="I1499" s="1159">
        <v>5.38</v>
      </c>
      <c r="J1499" s="1135">
        <v>15.54</v>
      </c>
      <c r="K1499" s="1112">
        <v>120</v>
      </c>
      <c r="L1499" s="1113">
        <v>645.83519999999999</v>
      </c>
      <c r="M1499" s="1136">
        <v>1864.8</v>
      </c>
      <c r="N1499" s="355"/>
    </row>
    <row r="1500" spans="1:14">
      <c r="C1500" s="316" t="s">
        <v>2745</v>
      </c>
      <c r="D1500" s="1232"/>
      <c r="E1500" s="105" t="s">
        <v>2746</v>
      </c>
      <c r="F1500" s="1164"/>
      <c r="G1500" s="1719"/>
      <c r="H1500" s="1686"/>
      <c r="I1500" s="1686"/>
      <c r="J1500" s="1689"/>
      <c r="K1500" s="1686"/>
      <c r="L1500" s="1687"/>
      <c r="M1500" s="1689"/>
      <c r="N1500" s="355"/>
    </row>
    <row r="1501" spans="1:14" ht="15" thickBot="1">
      <c r="C1501" s="322" t="s">
        <v>2747</v>
      </c>
      <c r="D1501" s="1232"/>
      <c r="E1501" s="105" t="s">
        <v>2748</v>
      </c>
      <c r="F1501" s="1164"/>
      <c r="G1501" s="1344">
        <v>5.7</v>
      </c>
      <c r="H1501" s="1686"/>
      <c r="I1501" s="1686"/>
      <c r="J1501" s="1689"/>
      <c r="K1501" s="1686"/>
      <c r="L1501" s="1687"/>
      <c r="M1501" s="1689"/>
      <c r="N1501" s="355"/>
    </row>
    <row r="1502" spans="1:14" s="94" customFormat="1">
      <c r="A1502" s="93"/>
      <c r="B1502" s="21"/>
      <c r="C1502" s="316" t="s">
        <v>2749</v>
      </c>
      <c r="D1502" s="1232"/>
      <c r="E1502" s="105" t="s">
        <v>2750</v>
      </c>
      <c r="F1502" s="1164"/>
      <c r="G1502" s="1697"/>
      <c r="H1502" s="1686"/>
      <c r="I1502" s="1686"/>
      <c r="J1502" s="1689"/>
      <c r="K1502" s="1686"/>
      <c r="L1502" s="1687"/>
      <c r="M1502" s="1689"/>
      <c r="N1502" s="355"/>
    </row>
    <row r="1503" spans="1:14" s="94" customFormat="1">
      <c r="A1503" s="93"/>
      <c r="B1503" s="21"/>
      <c r="C1503" s="317" t="s">
        <v>2751</v>
      </c>
      <c r="D1503" s="1232"/>
      <c r="E1503" s="105" t="s">
        <v>2752</v>
      </c>
      <c r="F1503" s="1164"/>
      <c r="G1503" s="1697"/>
      <c r="H1503" s="1686"/>
      <c r="I1503" s="1686"/>
      <c r="J1503" s="1689"/>
      <c r="K1503" s="1686"/>
      <c r="L1503" s="1687"/>
      <c r="M1503" s="1689"/>
      <c r="N1503" s="355"/>
    </row>
    <row r="1504" spans="1:14" s="94" customFormat="1" ht="15" thickBot="1">
      <c r="A1504" s="93"/>
      <c r="B1504" s="21"/>
      <c r="C1504" s="311" t="s">
        <v>2753</v>
      </c>
      <c r="D1504" s="1233"/>
      <c r="E1504" s="107" t="s">
        <v>2754</v>
      </c>
      <c r="F1504" s="1163"/>
      <c r="G1504" s="1700"/>
      <c r="H1504" s="1691"/>
      <c r="I1504" s="1690"/>
      <c r="J1504" s="1705"/>
      <c r="K1504" s="1690"/>
      <c r="L1504" s="1692"/>
      <c r="M1504" s="1694"/>
      <c r="N1504" s="355"/>
    </row>
    <row r="1505" spans="1:14">
      <c r="C1505" s="215"/>
      <c r="D1505" s="243"/>
      <c r="E1505" s="243"/>
      <c r="F1505" s="323"/>
      <c r="G1505" s="243"/>
      <c r="H1505" s="328"/>
      <c r="I1505" s="328"/>
      <c r="J1505" s="243"/>
      <c r="K1505" s="328"/>
      <c r="L1505" s="328"/>
      <c r="M1505" s="20"/>
      <c r="N1505" s="20"/>
    </row>
    <row r="1506" spans="1:14" ht="15" thickBot="1">
      <c r="D1506" s="243"/>
      <c r="E1506" s="243"/>
      <c r="F1506" s="323"/>
      <c r="G1506" s="243"/>
      <c r="H1506" s="328"/>
      <c r="I1506" s="328"/>
      <c r="J1506" s="243"/>
      <c r="K1506" s="328"/>
      <c r="L1506" s="328"/>
      <c r="M1506" s="20"/>
      <c r="N1506" s="20"/>
    </row>
    <row r="1507" spans="1:14" ht="31.5" customHeight="1" thickBot="1">
      <c r="C1507" s="63" t="s">
        <v>2755</v>
      </c>
      <c r="E1507" s="243"/>
      <c r="F1507" s="21"/>
      <c r="G1507" s="323"/>
      <c r="H1507" s="1133" t="s">
        <v>101</v>
      </c>
      <c r="I1507" s="1675"/>
      <c r="J1507" s="1676"/>
      <c r="K1507" s="1133" t="s">
        <v>102</v>
      </c>
      <c r="L1507" s="1675"/>
      <c r="M1507" s="1676"/>
      <c r="N1507" s="26"/>
    </row>
    <row r="1508" spans="1:14" s="94" customFormat="1" ht="15" customHeight="1" thickBot="1">
      <c r="A1508" s="93"/>
      <c r="B1508" s="21"/>
      <c r="C1508" s="28" t="s">
        <v>103</v>
      </c>
      <c r="D1508" s="32" t="s">
        <v>104</v>
      </c>
      <c r="E1508" s="30" t="s">
        <v>105</v>
      </c>
      <c r="F1508" s="32" t="s">
        <v>106</v>
      </c>
      <c r="G1508" s="32" t="s">
        <v>107</v>
      </c>
      <c r="H1508" s="169" t="s">
        <v>108</v>
      </c>
      <c r="I1508" s="34" t="s">
        <v>109</v>
      </c>
      <c r="J1508" s="73" t="s">
        <v>110</v>
      </c>
      <c r="K1508" s="33" t="s">
        <v>111</v>
      </c>
      <c r="L1508" s="34" t="s">
        <v>109</v>
      </c>
      <c r="M1508" s="36" t="s">
        <v>110</v>
      </c>
      <c r="N1508" s="37"/>
    </row>
    <row r="1509" spans="1:14" ht="15" customHeight="1" thickBot="1">
      <c r="B1509" s="21" t="s">
        <v>112</v>
      </c>
      <c r="C1509" s="250" t="s">
        <v>2756</v>
      </c>
      <c r="D1509" s="1118" t="s">
        <v>114</v>
      </c>
      <c r="E1509" s="278" t="s">
        <v>2757</v>
      </c>
      <c r="F1509" s="1379" t="s">
        <v>109</v>
      </c>
      <c r="G1509" s="540">
        <v>1.92</v>
      </c>
      <c r="H1509" s="339">
        <v>10</v>
      </c>
      <c r="I1509" s="340">
        <v>20.350000000000001</v>
      </c>
      <c r="J1509" s="403">
        <v>79.48</v>
      </c>
      <c r="K1509" s="339">
        <v>36</v>
      </c>
      <c r="L1509" s="340">
        <v>732.76</v>
      </c>
      <c r="M1509" s="341">
        <v>2861.28</v>
      </c>
      <c r="N1509" s="328"/>
    </row>
    <row r="1510" spans="1:14" s="94" customFormat="1" ht="15" customHeight="1">
      <c r="A1510" s="93"/>
      <c r="B1510" s="21"/>
      <c r="C1510" s="288" t="s">
        <v>2758</v>
      </c>
      <c r="D1510" s="1119"/>
      <c r="E1510" s="241" t="s">
        <v>2759</v>
      </c>
      <c r="F1510" s="1380"/>
      <c r="G1510" s="553">
        <v>2.04</v>
      </c>
      <c r="H1510" s="1006">
        <v>10</v>
      </c>
      <c r="I1510" s="356">
        <v>19.38</v>
      </c>
      <c r="J1510" s="360">
        <v>75.67</v>
      </c>
      <c r="K1510" s="348">
        <v>36</v>
      </c>
      <c r="L1510" s="349">
        <v>697.5</v>
      </c>
      <c r="M1510" s="357">
        <v>2724.12</v>
      </c>
      <c r="N1510" s="328"/>
    </row>
    <row r="1511" spans="1:14" ht="15" customHeight="1" thickBot="1">
      <c r="C1511" s="269" t="s">
        <v>2760</v>
      </c>
      <c r="D1511" s="1120"/>
      <c r="E1511" s="266" t="s">
        <v>2761</v>
      </c>
      <c r="F1511" s="1380"/>
      <c r="G1511" s="227">
        <v>2.58</v>
      </c>
      <c r="H1511" s="342">
        <v>10</v>
      </c>
      <c r="I1511" s="335">
        <v>18.944400000000002</v>
      </c>
      <c r="J1511" s="344">
        <v>75.56</v>
      </c>
      <c r="K1511" s="342">
        <v>32</v>
      </c>
      <c r="L1511" s="343">
        <v>606.22</v>
      </c>
      <c r="M1511" s="336">
        <v>2417.92</v>
      </c>
      <c r="N1511" s="328"/>
    </row>
    <row r="1512" spans="1:14" ht="15" customHeight="1">
      <c r="C1512" s="286" t="s">
        <v>2762</v>
      </c>
      <c r="D1512" s="1118" t="s">
        <v>259</v>
      </c>
      <c r="E1512" s="240" t="s">
        <v>2763</v>
      </c>
      <c r="F1512" s="1380"/>
      <c r="G1512" s="553">
        <v>2.1</v>
      </c>
      <c r="H1512" s="1007">
        <v>6</v>
      </c>
      <c r="I1512" s="340">
        <v>22.86</v>
      </c>
      <c r="J1512" s="403">
        <f>M1512/K1512</f>
        <v>88.244166666666672</v>
      </c>
      <c r="K1512" s="339">
        <v>24</v>
      </c>
      <c r="L1512" s="340">
        <f>K1512*I1512</f>
        <v>548.64</v>
      </c>
      <c r="M1512" s="341">
        <v>2117.86</v>
      </c>
      <c r="N1512" s="328"/>
    </row>
    <row r="1513" spans="1:14" ht="15" customHeight="1" thickBot="1">
      <c r="C1513" s="252" t="s">
        <v>2764</v>
      </c>
      <c r="D1513" s="1120"/>
      <c r="E1513" s="262" t="s">
        <v>2765</v>
      </c>
      <c r="F1513" s="1380"/>
      <c r="G1513" s="227">
        <v>2.58</v>
      </c>
      <c r="H1513" s="332">
        <v>5</v>
      </c>
      <c r="I1513" s="333">
        <v>19.052199999999999</v>
      </c>
      <c r="J1513" s="338">
        <v>78.400000000000006</v>
      </c>
      <c r="K1513" s="332">
        <v>30</v>
      </c>
      <c r="L1513" s="333">
        <v>571.55999999999995</v>
      </c>
      <c r="M1513" s="338">
        <v>2352</v>
      </c>
      <c r="N1513" s="328"/>
    </row>
    <row r="1514" spans="1:14" ht="15" customHeight="1" thickBot="1">
      <c r="C1514" s="288" t="s">
        <v>2766</v>
      </c>
      <c r="D1514" s="1118" t="s">
        <v>119</v>
      </c>
      <c r="E1514" s="246" t="s">
        <v>2767</v>
      </c>
      <c r="F1514" s="1380"/>
      <c r="G1514" s="582">
        <v>2.64</v>
      </c>
      <c r="H1514" s="1342">
        <v>3</v>
      </c>
      <c r="I1514" s="1404">
        <v>22.96</v>
      </c>
      <c r="J1514" s="1210">
        <f>M1514/K1514</f>
        <v>84.141111111111115</v>
      </c>
      <c r="K1514" s="1342">
        <v>27</v>
      </c>
      <c r="L1514" s="1404">
        <v>619.92999999999995</v>
      </c>
      <c r="M1514" s="1530">
        <v>2271.81</v>
      </c>
      <c r="N1514" s="328"/>
    </row>
    <row r="1515" spans="1:14" ht="15" customHeight="1" thickBot="1">
      <c r="C1515" s="252" t="s">
        <v>2768</v>
      </c>
      <c r="D1515" s="1120"/>
      <c r="E1515" s="1" t="s">
        <v>2769</v>
      </c>
      <c r="F1515" s="1380"/>
      <c r="G1515" s="552">
        <v>3.18</v>
      </c>
      <c r="H1515" s="1712"/>
      <c r="I1515" s="1714"/>
      <c r="J1515" s="1715"/>
      <c r="K1515" s="1712"/>
      <c r="L1515" s="1714"/>
      <c r="M1515" s="1715"/>
      <c r="N1515" s="328"/>
    </row>
    <row r="1516" spans="1:14" ht="15" customHeight="1" thickBot="1">
      <c r="C1516" s="269" t="s">
        <v>2770</v>
      </c>
      <c r="D1516" s="1118" t="s">
        <v>377</v>
      </c>
      <c r="E1516" s="268" t="s">
        <v>2771</v>
      </c>
      <c r="F1516" s="1380"/>
      <c r="G1516" s="553">
        <v>3.18</v>
      </c>
      <c r="H1516" s="1462">
        <v>3</v>
      </c>
      <c r="I1516" s="1216">
        <v>25.87</v>
      </c>
      <c r="J1516" s="1518">
        <v>87.7</v>
      </c>
      <c r="K1516" s="1216">
        <v>18</v>
      </c>
      <c r="L1516" s="1351">
        <v>465.6</v>
      </c>
      <c r="M1516" s="1145">
        <v>1578.6</v>
      </c>
      <c r="N1516" s="328"/>
    </row>
    <row r="1517" spans="1:14" ht="16.350000000000001" customHeight="1" thickBot="1">
      <c r="C1517" s="252" t="s">
        <v>2772</v>
      </c>
      <c r="D1517" s="1120"/>
      <c r="E1517" s="1" t="s">
        <v>2773</v>
      </c>
      <c r="F1517" s="1380"/>
      <c r="G1517" s="227">
        <v>2.4</v>
      </c>
      <c r="H1517" s="1712"/>
      <c r="I1517" s="1712"/>
      <c r="J1517" s="1715"/>
      <c r="K1517" s="1712"/>
      <c r="L1517" s="1714"/>
      <c r="M1517" s="1715"/>
      <c r="N1517" s="328"/>
    </row>
    <row r="1518" spans="1:14" ht="15" customHeight="1" thickBot="1">
      <c r="B1518" s="21" t="s">
        <v>326</v>
      </c>
      <c r="C1518" s="257" t="s">
        <v>2774</v>
      </c>
      <c r="D1518" s="1333" t="s">
        <v>227</v>
      </c>
      <c r="E1518" s="961" t="s">
        <v>2775</v>
      </c>
      <c r="F1518" s="1464" t="s">
        <v>108</v>
      </c>
      <c r="G1518" s="590">
        <v>2.2799999999999998</v>
      </c>
      <c r="H1518" s="368">
        <v>24</v>
      </c>
      <c r="I1518" s="325">
        <v>5.89</v>
      </c>
      <c r="J1518" s="329">
        <v>21.43</v>
      </c>
      <c r="K1518" s="324">
        <v>120</v>
      </c>
      <c r="L1518" s="325">
        <v>706.81</v>
      </c>
      <c r="M1518" s="326">
        <v>2571.84</v>
      </c>
      <c r="N1518" s="328"/>
    </row>
    <row r="1519" spans="1:14" ht="17.25" customHeight="1" thickBot="1">
      <c r="C1519" s="257" t="s">
        <v>2776</v>
      </c>
      <c r="D1519" s="1335"/>
      <c r="E1519" s="962" t="s">
        <v>2777</v>
      </c>
      <c r="F1519" s="1465"/>
      <c r="G1519" s="590">
        <v>2.64</v>
      </c>
      <c r="H1519" s="368">
        <v>24</v>
      </c>
      <c r="I1519" s="325">
        <v>6.48</v>
      </c>
      <c r="J1519" s="329">
        <v>25.39</v>
      </c>
      <c r="K1519" s="324">
        <v>120</v>
      </c>
      <c r="L1519" s="325">
        <v>777.6</v>
      </c>
      <c r="M1519" s="326">
        <v>3047.04</v>
      </c>
      <c r="N1519" s="328"/>
    </row>
    <row r="1520" spans="1:14" ht="16.5" customHeight="1" thickBot="1">
      <c r="B1520" s="21" t="s">
        <v>1868</v>
      </c>
      <c r="C1520" s="216" t="s">
        <v>2778</v>
      </c>
      <c r="D1520" s="416" t="s">
        <v>523</v>
      </c>
      <c r="E1520" s="963" t="s">
        <v>2779</v>
      </c>
      <c r="F1520" s="1465"/>
      <c r="G1520" s="554">
        <v>9</v>
      </c>
      <c r="H1520" s="342">
        <v>11</v>
      </c>
      <c r="I1520" s="343">
        <v>13.15</v>
      </c>
      <c r="J1520" s="380">
        <v>45.76</v>
      </c>
      <c r="K1520" s="342">
        <v>54</v>
      </c>
      <c r="L1520" s="343">
        <v>710.1</v>
      </c>
      <c r="M1520" s="380">
        <v>2471.04</v>
      </c>
      <c r="N1520" s="328"/>
    </row>
    <row r="1521" spans="2:14" ht="16.5" customHeight="1" thickBot="1">
      <c r="B1521" s="21" t="s">
        <v>1868</v>
      </c>
      <c r="C1521" s="216" t="s">
        <v>2780</v>
      </c>
      <c r="D1521" s="416" t="s">
        <v>250</v>
      </c>
      <c r="E1521" s="964" t="s">
        <v>2781</v>
      </c>
      <c r="F1521" s="1466"/>
      <c r="G1521" s="554">
        <v>9</v>
      </c>
      <c r="H1521" s="342">
        <v>16</v>
      </c>
      <c r="I1521" s="343">
        <v>16.111999999999998</v>
      </c>
      <c r="J1521" s="380">
        <v>35.93</v>
      </c>
      <c r="K1521" s="342">
        <v>72</v>
      </c>
      <c r="L1521" s="343">
        <v>1159.92</v>
      </c>
      <c r="M1521" s="380" t="s">
        <v>2782</v>
      </c>
      <c r="N1521" s="328"/>
    </row>
    <row r="1522" spans="2:14" ht="15" customHeight="1" thickBot="1">
      <c r="C1522" s="256"/>
      <c r="D1522" s="243"/>
      <c r="E1522" s="300"/>
      <c r="F1522" s="300"/>
      <c r="G1522" s="591"/>
      <c r="H1522" s="1008"/>
      <c r="I1522" s="300"/>
      <c r="J1522" s="300"/>
      <c r="K1522" s="300"/>
      <c r="L1522" s="300"/>
      <c r="M1522" s="20"/>
      <c r="N1522" s="20"/>
    </row>
    <row r="1523" spans="2:14" ht="32.1" customHeight="1" thickBot="1">
      <c r="C1523" s="63" t="s">
        <v>2783</v>
      </c>
      <c r="G1523" s="549"/>
      <c r="H1523" s="1133" t="s">
        <v>101</v>
      </c>
      <c r="I1523" s="1675"/>
      <c r="J1523" s="1676"/>
      <c r="K1523" s="1133" t="s">
        <v>102</v>
      </c>
      <c r="L1523" s="1675"/>
      <c r="M1523" s="1676"/>
      <c r="N1523" s="26"/>
    </row>
    <row r="1524" spans="2:14" ht="15" customHeight="1" thickBot="1">
      <c r="C1524" s="27" t="s">
        <v>103</v>
      </c>
      <c r="D1524" s="32" t="s">
        <v>104</v>
      </c>
      <c r="E1524" s="30" t="s">
        <v>105</v>
      </c>
      <c r="F1524" s="32" t="s">
        <v>106</v>
      </c>
      <c r="G1524" s="32" t="s">
        <v>107</v>
      </c>
      <c r="H1524" s="169" t="s">
        <v>108</v>
      </c>
      <c r="I1524" s="34" t="s">
        <v>109</v>
      </c>
      <c r="J1524" s="73" t="s">
        <v>110</v>
      </c>
      <c r="K1524" s="53" t="s">
        <v>111</v>
      </c>
      <c r="L1524" s="34" t="s">
        <v>109</v>
      </c>
      <c r="M1524" s="36" t="s">
        <v>110</v>
      </c>
      <c r="N1524" s="37"/>
    </row>
    <row r="1525" spans="2:14" ht="16.350000000000001" customHeight="1" thickBot="1">
      <c r="C1525" s="257" t="s">
        <v>2784</v>
      </c>
      <c r="D1525" s="264" t="s">
        <v>227</v>
      </c>
      <c r="E1525" s="304" t="s">
        <v>2785</v>
      </c>
      <c r="F1525" s="539" t="s">
        <v>108</v>
      </c>
      <c r="G1525" s="600">
        <v>3.9</v>
      </c>
      <c r="H1525" s="368">
        <v>50</v>
      </c>
      <c r="I1525" s="325">
        <v>12.64</v>
      </c>
      <c r="J1525" s="329">
        <v>41.12</v>
      </c>
      <c r="K1525" s="324">
        <v>84</v>
      </c>
      <c r="L1525" s="325">
        <v>1061.76</v>
      </c>
      <c r="M1525" s="326">
        <v>3454.35</v>
      </c>
      <c r="N1525" s="328"/>
    </row>
    <row r="1526" spans="2:14" ht="15.95" customHeight="1" thickBot="1">
      <c r="C1526" s="261" t="s">
        <v>2786</v>
      </c>
      <c r="D1526" s="264" t="s">
        <v>178</v>
      </c>
      <c r="E1526" s="262" t="s">
        <v>2787</v>
      </c>
      <c r="F1526" s="534" t="s">
        <v>109</v>
      </c>
      <c r="G1526" s="582">
        <v>2.7</v>
      </c>
      <c r="H1526" s="1009">
        <v>50</v>
      </c>
      <c r="I1526" s="492">
        <v>12.64</v>
      </c>
      <c r="J1526" s="452">
        <v>27.67</v>
      </c>
      <c r="K1526" s="469">
        <v>84</v>
      </c>
      <c r="L1526" s="453">
        <v>1061.76</v>
      </c>
      <c r="M1526" s="452">
        <v>2324.5100000000002</v>
      </c>
      <c r="N1526" s="328"/>
    </row>
    <row r="1527" spans="2:14">
      <c r="C1527" s="170" t="s">
        <v>2788</v>
      </c>
      <c r="D1527" s="1118" t="s">
        <v>907</v>
      </c>
      <c r="E1527" s="217" t="s">
        <v>2789</v>
      </c>
      <c r="F1527" s="1446" t="s">
        <v>109</v>
      </c>
      <c r="G1527" s="551">
        <v>1.8</v>
      </c>
      <c r="H1527" s="339">
        <v>80</v>
      </c>
      <c r="I1527" s="340">
        <v>10</v>
      </c>
      <c r="J1527" s="341">
        <v>23.44</v>
      </c>
      <c r="K1527" s="393">
        <v>72</v>
      </c>
      <c r="L1527" s="340">
        <v>719.2</v>
      </c>
      <c r="M1527" s="341">
        <v>1728</v>
      </c>
      <c r="N1527" s="328"/>
    </row>
    <row r="1528" spans="2:14" ht="15" thickBot="1">
      <c r="C1528" s="200" t="s">
        <v>2790</v>
      </c>
      <c r="D1528" s="1120"/>
      <c r="E1528" s="218" t="s">
        <v>2791</v>
      </c>
      <c r="F1528" s="1479"/>
      <c r="G1528" s="582">
        <v>1.8</v>
      </c>
      <c r="H1528" s="332">
        <v>80</v>
      </c>
      <c r="I1528" s="333">
        <v>10</v>
      </c>
      <c r="J1528" s="338">
        <v>23.44</v>
      </c>
      <c r="K1528" s="362">
        <v>72</v>
      </c>
      <c r="L1528" s="333">
        <v>719.2</v>
      </c>
      <c r="M1528" s="338">
        <v>1728</v>
      </c>
      <c r="N1528" s="328"/>
    </row>
    <row r="1529" spans="2:14" ht="15" thickBot="1">
      <c r="C1529" s="170" t="s">
        <v>2792</v>
      </c>
      <c r="D1529" s="1118" t="s">
        <v>1757</v>
      </c>
      <c r="E1529" s="217" t="s">
        <v>2793</v>
      </c>
      <c r="F1529" s="1333" t="s">
        <v>109</v>
      </c>
      <c r="G1529" s="553">
        <v>2.1</v>
      </c>
      <c r="H1529" s="1251">
        <v>38</v>
      </c>
      <c r="I1529" s="1128">
        <v>11.25</v>
      </c>
      <c r="J1529" s="1116">
        <v>27.06</v>
      </c>
      <c r="K1529" s="1117">
        <v>78</v>
      </c>
      <c r="L1529" s="1285">
        <v>877.37</v>
      </c>
      <c r="M1529" s="1312">
        <v>2110.37</v>
      </c>
      <c r="N1529" s="328"/>
    </row>
    <row r="1530" spans="2:14">
      <c r="C1530" s="224" t="s">
        <v>2794</v>
      </c>
      <c r="D1530" s="1119"/>
      <c r="E1530" s="218" t="s">
        <v>2795</v>
      </c>
      <c r="F1530" s="1334"/>
      <c r="G1530" s="572">
        <v>2.4</v>
      </c>
      <c r="H1530" s="1720"/>
      <c r="I1530" s="1686"/>
      <c r="J1530" s="1689"/>
      <c r="K1530" s="1686"/>
      <c r="L1530" s="1687"/>
      <c r="M1530" s="1689"/>
      <c r="N1530" s="328"/>
    </row>
    <row r="1531" spans="2:14" ht="15" thickBot="1">
      <c r="C1531" s="200" t="s">
        <v>2796</v>
      </c>
      <c r="D1531" s="1120"/>
      <c r="E1531" s="218" t="s">
        <v>2797</v>
      </c>
      <c r="F1531" s="1335"/>
      <c r="G1531" s="227">
        <v>2.1</v>
      </c>
      <c r="H1531" s="1706"/>
      <c r="I1531" s="1690"/>
      <c r="J1531" s="1694"/>
      <c r="K1531" s="1690"/>
      <c r="L1531" s="1692"/>
      <c r="M1531" s="1694"/>
      <c r="N1531" s="328"/>
    </row>
    <row r="1532" spans="2:14" ht="15" thickBot="1">
      <c r="B1532" s="512"/>
      <c r="C1532" s="225" t="s">
        <v>2798</v>
      </c>
      <c r="D1532" s="255" t="s">
        <v>531</v>
      </c>
      <c r="E1532" s="304" t="s">
        <v>2799</v>
      </c>
      <c r="F1532" s="226" t="s">
        <v>109</v>
      </c>
      <c r="G1532" s="596">
        <v>2.11</v>
      </c>
      <c r="H1532" s="324">
        <v>16</v>
      </c>
      <c r="I1532" s="325">
        <v>11.947900000000001</v>
      </c>
      <c r="J1532" s="326">
        <v>32.56</v>
      </c>
      <c r="K1532" s="324">
        <v>55</v>
      </c>
      <c r="L1532" s="358">
        <v>657.13</v>
      </c>
      <c r="M1532" s="369">
        <v>1790.8</v>
      </c>
      <c r="N1532" s="328"/>
    </row>
    <row r="1533" spans="2:14" ht="15" thickBot="1">
      <c r="B1533" s="512"/>
      <c r="C1533" s="216" t="s">
        <v>2800</v>
      </c>
      <c r="D1533" s="238" t="s">
        <v>534</v>
      </c>
      <c r="E1533" s="606" t="s">
        <v>2801</v>
      </c>
      <c r="F1533" s="227" t="s">
        <v>108</v>
      </c>
      <c r="G1533" s="596">
        <v>3.9</v>
      </c>
      <c r="H1533" s="324">
        <v>16</v>
      </c>
      <c r="I1533" s="325">
        <v>11.947900000000001</v>
      </c>
      <c r="J1533" s="326">
        <v>32.607999999999997</v>
      </c>
      <c r="K1533" s="324">
        <v>65</v>
      </c>
      <c r="L1533" s="358">
        <v>776.61350000000004</v>
      </c>
      <c r="M1533" s="369">
        <v>2119.52</v>
      </c>
      <c r="N1533" s="328"/>
    </row>
    <row r="1534" spans="2:14" ht="15" thickBot="1">
      <c r="C1534" s="224" t="s">
        <v>2802</v>
      </c>
      <c r="D1534" s="248" t="s">
        <v>1270</v>
      </c>
      <c r="E1534" s="218" t="s">
        <v>2803</v>
      </c>
      <c r="F1534" s="1119" t="s">
        <v>108</v>
      </c>
      <c r="G1534" s="226">
        <v>2.4</v>
      </c>
      <c r="H1534" s="378">
        <v>40</v>
      </c>
      <c r="I1534" s="356">
        <v>5</v>
      </c>
      <c r="J1534" s="357">
        <v>12.68</v>
      </c>
      <c r="K1534" s="394">
        <v>180</v>
      </c>
      <c r="L1534" s="356">
        <v>898.56</v>
      </c>
      <c r="M1534" s="385">
        <v>2282.4</v>
      </c>
      <c r="N1534" s="355"/>
    </row>
    <row r="1535" spans="2:14" ht="15" thickBot="1">
      <c r="C1535" s="39" t="s">
        <v>2804</v>
      </c>
      <c r="D1535" s="253" t="s">
        <v>1214</v>
      </c>
      <c r="E1535" s="618" t="s">
        <v>2805</v>
      </c>
      <c r="F1535" s="1120"/>
      <c r="G1535" s="547">
        <v>2.4</v>
      </c>
      <c r="H1535" s="342">
        <v>36</v>
      </c>
      <c r="I1535" s="343">
        <v>7.29</v>
      </c>
      <c r="J1535" s="344">
        <v>18.54</v>
      </c>
      <c r="K1535" s="395">
        <v>99</v>
      </c>
      <c r="L1535" s="343">
        <v>721.35</v>
      </c>
      <c r="M1535" s="344">
        <v>1835.46</v>
      </c>
      <c r="N1535" s="328"/>
    </row>
    <row r="1536" spans="2:14" ht="15" thickBot="1">
      <c r="C1536" s="422"/>
      <c r="D1536" s="243"/>
      <c r="E1536" s="242"/>
      <c r="F1536" s="243"/>
      <c r="G1536" s="243"/>
      <c r="H1536" s="243"/>
      <c r="I1536" s="328"/>
      <c r="J1536" s="328"/>
      <c r="K1536" s="243"/>
      <c r="L1536" s="328"/>
      <c r="M1536" s="328"/>
      <c r="N1536" s="328"/>
    </row>
    <row r="1537" spans="2:14" ht="27" customHeight="1" thickBot="1">
      <c r="C1537" s="19" t="s">
        <v>2806</v>
      </c>
      <c r="D1537" s="243"/>
      <c r="E1537" s="243"/>
      <c r="F1537" s="243"/>
      <c r="G1537" s="323"/>
      <c r="H1537" s="1349" t="s">
        <v>101</v>
      </c>
      <c r="I1537" s="1675"/>
      <c r="J1537" s="1675"/>
      <c r="K1537" s="1133" t="s">
        <v>102</v>
      </c>
      <c r="L1537" s="1675"/>
      <c r="M1537" s="1676"/>
      <c r="N1537" s="26"/>
    </row>
    <row r="1538" spans="2:14" ht="15" customHeight="1">
      <c r="B1538" s="21" t="s">
        <v>112</v>
      </c>
      <c r="C1538" s="29" t="s">
        <v>103</v>
      </c>
      <c r="D1538" s="31" t="s">
        <v>104</v>
      </c>
      <c r="E1538" s="42" t="s">
        <v>105</v>
      </c>
      <c r="F1538" s="31" t="s">
        <v>106</v>
      </c>
      <c r="G1538" s="592" t="s">
        <v>107</v>
      </c>
      <c r="H1538" s="43" t="s">
        <v>108</v>
      </c>
      <c r="I1538" s="34" t="s">
        <v>109</v>
      </c>
      <c r="J1538" s="35" t="s">
        <v>110</v>
      </c>
      <c r="K1538" s="33" t="s">
        <v>111</v>
      </c>
      <c r="L1538" s="34" t="s">
        <v>109</v>
      </c>
      <c r="M1538" s="36" t="s">
        <v>110</v>
      </c>
      <c r="N1538" s="37"/>
    </row>
    <row r="1539" spans="2:14" ht="15">
      <c r="C1539" s="309" t="s">
        <v>2807</v>
      </c>
      <c r="D1539" s="1231" t="s">
        <v>114</v>
      </c>
      <c r="E1539" s="111" t="s">
        <v>2808</v>
      </c>
      <c r="F1539" s="1162" t="s">
        <v>109</v>
      </c>
      <c r="G1539" s="1214">
        <v>2.82</v>
      </c>
      <c r="H1539" s="1354">
        <v>6</v>
      </c>
      <c r="I1539" s="1666" t="s">
        <v>1816</v>
      </c>
      <c r="J1539" s="1667" t="s">
        <v>2809</v>
      </c>
      <c r="K1539" s="1668">
        <v>48</v>
      </c>
      <c r="L1539" s="1668" t="s">
        <v>2810</v>
      </c>
      <c r="M1539" s="1669" t="s">
        <v>2811</v>
      </c>
      <c r="N1539" s="355"/>
    </row>
    <row r="1540" spans="2:14" ht="15">
      <c r="C1540" s="311" t="s">
        <v>2812</v>
      </c>
      <c r="D1540" s="1233"/>
      <c r="E1540" s="64" t="s">
        <v>2813</v>
      </c>
      <c r="F1540" s="1164"/>
      <c r="G1540" s="1679"/>
      <c r="H1540" s="1354"/>
      <c r="I1540" s="1670"/>
      <c r="J1540" s="1671"/>
      <c r="K1540" s="1185"/>
      <c r="L1540" s="1185"/>
      <c r="M1540" s="1673"/>
      <c r="N1540" s="355"/>
    </row>
    <row r="1541" spans="2:14" ht="15">
      <c r="C1541" s="942" t="s">
        <v>2814</v>
      </c>
      <c r="D1541" s="1231" t="s">
        <v>119</v>
      </c>
      <c r="E1541" s="109" t="s">
        <v>2815</v>
      </c>
      <c r="F1541" s="1164"/>
      <c r="G1541" s="1170">
        <v>3.42</v>
      </c>
      <c r="H1541" s="1364">
        <v>2</v>
      </c>
      <c r="I1541" s="1364" t="s">
        <v>2816</v>
      </c>
      <c r="J1541" s="1364">
        <v>67.41</v>
      </c>
      <c r="K1541" s="1364">
        <v>35</v>
      </c>
      <c r="L1541" s="1364" t="s">
        <v>2817</v>
      </c>
      <c r="M1541" s="1672">
        <v>2359.63</v>
      </c>
      <c r="N1541" s="355"/>
    </row>
    <row r="1542" spans="2:14" ht="15">
      <c r="C1542" s="943" t="s">
        <v>2818</v>
      </c>
      <c r="D1542" s="1232"/>
      <c r="E1542" s="109" t="s">
        <v>2819</v>
      </c>
      <c r="F1542" s="1164"/>
      <c r="G1542" s="1697"/>
      <c r="H1542" s="1721"/>
      <c r="I1542" s="1721"/>
      <c r="J1542" s="1721"/>
      <c r="K1542" s="1721"/>
      <c r="L1542" s="1721"/>
      <c r="M1542" s="1746"/>
      <c r="N1542" s="328"/>
    </row>
    <row r="1543" spans="2:14" ht="16.350000000000001" customHeight="1">
      <c r="C1543" s="944" t="s">
        <v>2820</v>
      </c>
      <c r="D1543" s="1233"/>
      <c r="E1543" s="601" t="s">
        <v>2821</v>
      </c>
      <c r="F1543" s="1163"/>
      <c r="G1543" s="1700"/>
      <c r="H1543" s="1733"/>
      <c r="I1543" s="1733"/>
      <c r="J1543" s="1733"/>
      <c r="K1543" s="1733"/>
      <c r="L1543" s="1733"/>
      <c r="M1543" s="1747"/>
      <c r="N1543" s="328"/>
    </row>
    <row r="1544" spans="2:14" ht="16.350000000000001" customHeight="1">
      <c r="C1544" s="981"/>
      <c r="D1544" s="318"/>
      <c r="E1544" s="67"/>
      <c r="F1544" s="320"/>
      <c r="G1544" s="323"/>
      <c r="H1544" s="982"/>
      <c r="I1544" s="983"/>
      <c r="J1544" s="983"/>
      <c r="K1544" s="982"/>
      <c r="L1544" s="984"/>
      <c r="M1544" s="984"/>
      <c r="N1544" s="328"/>
    </row>
    <row r="1545" spans="2:14" ht="32.1" customHeight="1" thickBot="1">
      <c r="C1545" s="54" t="s">
        <v>2822</v>
      </c>
      <c r="D1545" s="22" t="s">
        <v>537</v>
      </c>
      <c r="E1545" s="242"/>
      <c r="G1545" s="549"/>
      <c r="H1545" s="1131" t="s">
        <v>101</v>
      </c>
      <c r="I1545" s="1716"/>
      <c r="J1545" s="1717"/>
      <c r="K1545" s="1133" t="s">
        <v>102</v>
      </c>
      <c r="L1545" s="1675"/>
      <c r="M1545" s="1676"/>
      <c r="N1545" s="328"/>
    </row>
    <row r="1546" spans="2:14" ht="16.350000000000001" customHeight="1" thickBot="1">
      <c r="C1546" s="27" t="s">
        <v>103</v>
      </c>
      <c r="D1546" s="32" t="s">
        <v>104</v>
      </c>
      <c r="E1546" s="30" t="s">
        <v>105</v>
      </c>
      <c r="F1546" s="32" t="s">
        <v>106</v>
      </c>
      <c r="G1546" s="169" t="s">
        <v>107</v>
      </c>
      <c r="H1546" s="43" t="s">
        <v>108</v>
      </c>
      <c r="I1546" s="44" t="s">
        <v>109</v>
      </c>
      <c r="J1546" s="55" t="s">
        <v>110</v>
      </c>
      <c r="K1546" s="33" t="s">
        <v>111</v>
      </c>
      <c r="L1546" s="34" t="s">
        <v>109</v>
      </c>
      <c r="M1546" s="36" t="s">
        <v>110</v>
      </c>
      <c r="N1546" s="328"/>
    </row>
    <row r="1547" spans="2:14" ht="16.350000000000001" customHeight="1" thickBot="1">
      <c r="B1547" s="602" t="s">
        <v>150</v>
      </c>
      <c r="C1547" s="267" t="s">
        <v>2823</v>
      </c>
      <c r="D1547" s="255" t="s">
        <v>119</v>
      </c>
      <c r="E1547" s="267" t="s">
        <v>2824</v>
      </c>
      <c r="F1547" s="255" t="s">
        <v>109</v>
      </c>
      <c r="G1547" s="545">
        <v>4.2</v>
      </c>
      <c r="H1547" s="324">
        <v>2</v>
      </c>
      <c r="I1547" s="325">
        <v>15.5</v>
      </c>
      <c r="J1547" s="326">
        <v>67.41</v>
      </c>
      <c r="K1547" s="324">
        <v>35</v>
      </c>
      <c r="L1547" s="325">
        <v>542.5</v>
      </c>
      <c r="M1547" s="326">
        <v>2359.42</v>
      </c>
      <c r="N1547" s="328"/>
    </row>
    <row r="1548" spans="2:14" ht="15" customHeight="1" thickBot="1">
      <c r="D1548" s="243"/>
      <c r="E1548" s="242"/>
      <c r="F1548" s="243"/>
      <c r="G1548" s="243"/>
      <c r="H1548" s="243"/>
      <c r="I1548" s="328"/>
      <c r="J1548" s="328"/>
      <c r="K1548" s="243"/>
      <c r="L1548" s="328"/>
      <c r="M1548" s="328"/>
      <c r="N1548" s="328"/>
    </row>
    <row r="1549" spans="2:14" ht="27" customHeight="1" thickBot="1">
      <c r="C1549" s="63" t="s">
        <v>2825</v>
      </c>
      <c r="D1549" s="243"/>
      <c r="E1549" s="243"/>
      <c r="F1549" s="243"/>
      <c r="G1549" s="323"/>
      <c r="H1549" s="1349" t="s">
        <v>101</v>
      </c>
      <c r="I1549" s="1675"/>
      <c r="J1549" s="1675"/>
      <c r="K1549" s="1133" t="s">
        <v>102</v>
      </c>
      <c r="L1549" s="1675"/>
      <c r="M1549" s="1676"/>
      <c r="N1549" s="26"/>
    </row>
    <row r="1550" spans="2:14" ht="15" customHeight="1" thickBot="1">
      <c r="B1550" s="20"/>
      <c r="C1550" s="29" t="s">
        <v>103</v>
      </c>
      <c r="D1550" s="31" t="s">
        <v>104</v>
      </c>
      <c r="E1550" s="42" t="s">
        <v>105</v>
      </c>
      <c r="F1550" s="31" t="s">
        <v>106</v>
      </c>
      <c r="G1550" s="592" t="s">
        <v>107</v>
      </c>
      <c r="H1550" s="33" t="s">
        <v>108</v>
      </c>
      <c r="I1550" s="34" t="s">
        <v>109</v>
      </c>
      <c r="J1550" s="35" t="s">
        <v>110</v>
      </c>
      <c r="K1550" s="33" t="s">
        <v>111</v>
      </c>
      <c r="L1550" s="34" t="s">
        <v>109</v>
      </c>
      <c r="M1550" s="36" t="s">
        <v>110</v>
      </c>
      <c r="N1550" s="37"/>
    </row>
    <row r="1551" spans="2:14" ht="15" thickBot="1">
      <c r="B1551" s="21" t="s">
        <v>213</v>
      </c>
      <c r="C1551" s="309" t="s">
        <v>2826</v>
      </c>
      <c r="D1551" s="1231" t="s">
        <v>907</v>
      </c>
      <c r="E1551" s="111" t="s">
        <v>2827</v>
      </c>
      <c r="F1551" s="1162" t="s">
        <v>109</v>
      </c>
      <c r="G1551" s="1295">
        <v>3</v>
      </c>
      <c r="H1551" s="1187">
        <v>80</v>
      </c>
      <c r="I1551" s="1166" t="s">
        <v>2828</v>
      </c>
      <c r="J1551" s="1280" t="s">
        <v>2829</v>
      </c>
      <c r="K1551" s="1313">
        <v>76</v>
      </c>
      <c r="L1551" s="1224" t="s">
        <v>2830</v>
      </c>
      <c r="M1551" s="1366" t="s">
        <v>2831</v>
      </c>
      <c r="N1551" s="355"/>
    </row>
    <row r="1552" spans="2:14">
      <c r="C1552" s="316" t="s">
        <v>2832</v>
      </c>
      <c r="D1552" s="1232"/>
      <c r="E1552" s="112" t="s">
        <v>2833</v>
      </c>
      <c r="F1552" s="1164"/>
      <c r="G1552" s="1697"/>
      <c r="H1552" s="1711"/>
      <c r="I1552" s="1711"/>
      <c r="J1552" s="1713"/>
      <c r="K1552" s="1748"/>
      <c r="L1552" s="1722"/>
      <c r="M1552" s="1713"/>
      <c r="N1552" s="355"/>
    </row>
    <row r="1553" spans="2:14">
      <c r="C1553" s="316" t="s">
        <v>2834</v>
      </c>
      <c r="D1553" s="1232"/>
      <c r="E1553" s="112" t="s">
        <v>2835</v>
      </c>
      <c r="F1553" s="1164"/>
      <c r="G1553" s="1697"/>
      <c r="H1553" s="1711"/>
      <c r="I1553" s="1711"/>
      <c r="J1553" s="1713"/>
      <c r="K1553" s="1748"/>
      <c r="L1553" s="1722"/>
      <c r="M1553" s="1713"/>
      <c r="N1553" s="355"/>
    </row>
    <row r="1554" spans="2:14" ht="15" thickBot="1">
      <c r="C1554" s="311" t="s">
        <v>2836</v>
      </c>
      <c r="D1554" s="1233"/>
      <c r="E1554" s="64" t="s">
        <v>2837</v>
      </c>
      <c r="F1554" s="1163"/>
      <c r="G1554" s="1700"/>
      <c r="H1554" s="1712"/>
      <c r="I1554" s="1712"/>
      <c r="J1554" s="1715"/>
      <c r="K1554" s="1749"/>
      <c r="L1554" s="1714"/>
      <c r="M1554" s="1715"/>
      <c r="N1554" s="355"/>
    </row>
    <row r="1555" spans="2:14" ht="15" thickBot="1">
      <c r="C1555" s="309" t="s">
        <v>2838</v>
      </c>
      <c r="D1555" s="1231" t="s">
        <v>1270</v>
      </c>
      <c r="E1555" s="112" t="s">
        <v>2839</v>
      </c>
      <c r="F1555" s="1162" t="s">
        <v>108</v>
      </c>
      <c r="G1555" s="1295">
        <v>3</v>
      </c>
      <c r="H1555" s="1187">
        <v>80</v>
      </c>
      <c r="I1555" s="1166" t="s">
        <v>2828</v>
      </c>
      <c r="J1555" s="1280" t="s">
        <v>2829</v>
      </c>
      <c r="K1555" s="1313">
        <v>85</v>
      </c>
      <c r="L1555" s="1224" t="s">
        <v>2840</v>
      </c>
      <c r="M1555" s="1306" t="s">
        <v>2841</v>
      </c>
      <c r="N1555" s="355"/>
    </row>
    <row r="1556" spans="2:14">
      <c r="C1556" s="316" t="s">
        <v>2842</v>
      </c>
      <c r="D1556" s="1232"/>
      <c r="E1556" s="112" t="s">
        <v>2843</v>
      </c>
      <c r="F1556" s="1164"/>
      <c r="G1556" s="1697"/>
      <c r="H1556" s="1711"/>
      <c r="I1556" s="1711"/>
      <c r="J1556" s="1713"/>
      <c r="K1556" s="1748"/>
      <c r="L1556" s="1722"/>
      <c r="M1556" s="1713"/>
      <c r="N1556" s="355"/>
    </row>
    <row r="1557" spans="2:14">
      <c r="C1557" s="316" t="s">
        <v>2844</v>
      </c>
      <c r="D1557" s="1232"/>
      <c r="E1557" s="112" t="s">
        <v>2845</v>
      </c>
      <c r="F1557" s="1164"/>
      <c r="G1557" s="1697"/>
      <c r="H1557" s="1711"/>
      <c r="I1557" s="1711"/>
      <c r="J1557" s="1713"/>
      <c r="K1557" s="1748"/>
      <c r="L1557" s="1722"/>
      <c r="M1557" s="1713"/>
      <c r="N1557" s="355"/>
    </row>
    <row r="1558" spans="2:14" ht="15" thickBot="1">
      <c r="C1558" s="311" t="s">
        <v>2846</v>
      </c>
      <c r="D1558" s="1233"/>
      <c r="E1558" s="64" t="s">
        <v>2847</v>
      </c>
      <c r="F1558" s="1163"/>
      <c r="G1558" s="1700"/>
      <c r="H1558" s="1712"/>
      <c r="I1558" s="1712"/>
      <c r="J1558" s="1715"/>
      <c r="K1558" s="1749"/>
      <c r="L1558" s="1714"/>
      <c r="M1558" s="1715"/>
      <c r="N1558" s="355"/>
    </row>
    <row r="1559" spans="2:14" ht="15" thickBot="1">
      <c r="C1559" s="22"/>
      <c r="D1559" s="232"/>
      <c r="E1559" s="320"/>
      <c r="F1559" s="323"/>
      <c r="G1559" s="542"/>
      <c r="H1559" s="381"/>
      <c r="I1559" s="381"/>
      <c r="J1559" s="271"/>
      <c r="K1559" s="381"/>
      <c r="L1559" s="381"/>
      <c r="M1559" s="220"/>
      <c r="N1559" s="20"/>
    </row>
    <row r="1560" spans="2:14" ht="31.5" customHeight="1" thickBot="1">
      <c r="C1560" s="19" t="s">
        <v>2848</v>
      </c>
      <c r="E1560" s="242"/>
      <c r="G1560" s="549"/>
      <c r="H1560" s="1131" t="s">
        <v>101</v>
      </c>
      <c r="I1560" s="1716"/>
      <c r="J1560" s="1717"/>
      <c r="K1560" s="1133" t="s">
        <v>102</v>
      </c>
      <c r="L1560" s="1675"/>
      <c r="M1560" s="1676"/>
      <c r="N1560" s="26"/>
    </row>
    <row r="1561" spans="2:14" ht="15" customHeight="1" thickBot="1">
      <c r="C1561" s="28" t="s">
        <v>103</v>
      </c>
      <c r="D1561" s="32" t="s">
        <v>104</v>
      </c>
      <c r="E1561" s="42" t="s">
        <v>105</v>
      </c>
      <c r="F1561" s="32" t="s">
        <v>106</v>
      </c>
      <c r="G1561" s="169" t="s">
        <v>107</v>
      </c>
      <c r="H1561" s="33" t="s">
        <v>108</v>
      </c>
      <c r="I1561" s="34" t="s">
        <v>109</v>
      </c>
      <c r="J1561" s="36" t="s">
        <v>110</v>
      </c>
      <c r="K1561" s="33" t="s">
        <v>111</v>
      </c>
      <c r="L1561" s="34" t="s">
        <v>109</v>
      </c>
      <c r="M1561" s="36" t="s">
        <v>110</v>
      </c>
      <c r="N1561" s="37"/>
    </row>
    <row r="1562" spans="2:14" ht="16.350000000000001" customHeight="1" thickBot="1">
      <c r="B1562" s="21" t="s">
        <v>112</v>
      </c>
      <c r="C1562" s="252" t="s">
        <v>2849</v>
      </c>
      <c r="D1562" s="416" t="s">
        <v>114</v>
      </c>
      <c r="E1562" s="1" t="s">
        <v>2850</v>
      </c>
      <c r="F1562" s="1118" t="s">
        <v>109</v>
      </c>
      <c r="G1562" s="547">
        <v>3</v>
      </c>
      <c r="H1562" s="171">
        <v>6</v>
      </c>
      <c r="I1562" s="172" t="s">
        <v>1816</v>
      </c>
      <c r="J1562" s="221" t="s">
        <v>2851</v>
      </c>
      <c r="K1562" s="171">
        <v>48</v>
      </c>
      <c r="L1562" s="173" t="s">
        <v>2810</v>
      </c>
      <c r="M1562" s="174" t="s">
        <v>2811</v>
      </c>
      <c r="N1562" s="328"/>
    </row>
    <row r="1563" spans="2:14" ht="16.350000000000001" customHeight="1" thickBot="1">
      <c r="B1563" s="51"/>
      <c r="C1563" s="252" t="s">
        <v>2852</v>
      </c>
      <c r="D1563" s="416" t="s">
        <v>119</v>
      </c>
      <c r="E1563" s="1" t="s">
        <v>2853</v>
      </c>
      <c r="F1563" s="1120"/>
      <c r="G1563" s="547">
        <v>3.6</v>
      </c>
      <c r="H1563" s="171">
        <v>2</v>
      </c>
      <c r="I1563" s="172" t="s">
        <v>2816</v>
      </c>
      <c r="J1563" s="521">
        <v>33.71</v>
      </c>
      <c r="K1563" s="1066">
        <v>35</v>
      </c>
      <c r="L1563" s="522">
        <v>542.5</v>
      </c>
      <c r="M1563" s="523">
        <v>2359.63</v>
      </c>
      <c r="N1563" s="328"/>
    </row>
    <row r="1564" spans="2:14" ht="15" customHeight="1" thickBot="1">
      <c r="B1564" s="51"/>
      <c r="C1564" s="22"/>
      <c r="D1564" s="232"/>
      <c r="E1564" s="320"/>
      <c r="F1564" s="323"/>
      <c r="G1564" s="243"/>
      <c r="H1564" s="381"/>
      <c r="I1564" s="381"/>
      <c r="J1564" s="270"/>
      <c r="K1564" s="381"/>
      <c r="L1564" s="381"/>
      <c r="M1564" s="222"/>
      <c r="N1564" s="20"/>
    </row>
    <row r="1565" spans="2:14" ht="32.1" customHeight="1" thickBot="1">
      <c r="C1565" s="63" t="s">
        <v>2854</v>
      </c>
      <c r="E1565" s="242"/>
      <c r="G1565" s="549"/>
      <c r="H1565" s="1131" t="s">
        <v>101</v>
      </c>
      <c r="I1565" s="1716"/>
      <c r="J1565" s="1717"/>
      <c r="K1565" s="1133" t="s">
        <v>102</v>
      </c>
      <c r="L1565" s="1675"/>
      <c r="M1565" s="1676"/>
      <c r="N1565" s="26"/>
    </row>
    <row r="1566" spans="2:14" ht="15" customHeight="1" thickBot="1">
      <c r="B1566" s="51"/>
      <c r="C1566" s="27" t="s">
        <v>103</v>
      </c>
      <c r="D1566" s="32" t="s">
        <v>104</v>
      </c>
      <c r="E1566" s="30" t="s">
        <v>105</v>
      </c>
      <c r="F1566" s="32" t="s">
        <v>106</v>
      </c>
      <c r="G1566" s="169" t="s">
        <v>107</v>
      </c>
      <c r="H1566" s="43" t="s">
        <v>108</v>
      </c>
      <c r="I1566" s="44" t="s">
        <v>109</v>
      </c>
      <c r="J1566" s="55" t="s">
        <v>110</v>
      </c>
      <c r="K1566" s="33" t="s">
        <v>111</v>
      </c>
      <c r="L1566" s="34" t="s">
        <v>109</v>
      </c>
      <c r="M1566" s="36" t="s">
        <v>110</v>
      </c>
      <c r="N1566" s="37"/>
    </row>
    <row r="1567" spans="2:14" ht="15" customHeight="1" thickBot="1">
      <c r="B1567" s="21" t="s">
        <v>213</v>
      </c>
      <c r="C1567" s="267" t="s">
        <v>2855</v>
      </c>
      <c r="D1567" s="255" t="s">
        <v>2856</v>
      </c>
      <c r="E1567" s="267" t="s">
        <v>2857</v>
      </c>
      <c r="F1567" s="255" t="s">
        <v>109</v>
      </c>
      <c r="G1567" s="545">
        <v>3.9</v>
      </c>
      <c r="H1567" s="324">
        <v>4</v>
      </c>
      <c r="I1567" s="325">
        <v>20.67</v>
      </c>
      <c r="J1567" s="326">
        <v>81.73</v>
      </c>
      <c r="K1567" s="324">
        <v>32</v>
      </c>
      <c r="L1567" s="325">
        <v>661.33</v>
      </c>
      <c r="M1567" s="326">
        <v>2615.3000000000002</v>
      </c>
      <c r="N1567" s="328"/>
    </row>
    <row r="1568" spans="2:14" ht="15" customHeight="1" thickBot="1">
      <c r="B1568" s="51"/>
      <c r="C1568" s="22"/>
      <c r="D1568" s="232"/>
      <c r="E1568" s="320"/>
      <c r="F1568" s="323"/>
      <c r="G1568" s="243"/>
      <c r="H1568" s="381"/>
      <c r="I1568" s="381"/>
      <c r="J1568" s="270"/>
      <c r="K1568" s="381"/>
      <c r="L1568" s="381"/>
      <c r="M1568" s="222"/>
      <c r="N1568" s="20"/>
    </row>
    <row r="1569" spans="1:14" ht="30.6" customHeight="1" thickBot="1">
      <c r="C1569" s="63" t="s">
        <v>2858</v>
      </c>
      <c r="G1569" s="549"/>
      <c r="H1569" s="1133" t="s">
        <v>101</v>
      </c>
      <c r="I1569" s="1675"/>
      <c r="J1569" s="1676"/>
      <c r="K1569" s="1133" t="s">
        <v>102</v>
      </c>
      <c r="L1569" s="1675"/>
      <c r="M1569" s="1676"/>
      <c r="N1569" s="26"/>
    </row>
    <row r="1570" spans="1:14" ht="15" customHeight="1" thickBot="1">
      <c r="C1570" s="29" t="s">
        <v>103</v>
      </c>
      <c r="D1570" s="31" t="s">
        <v>104</v>
      </c>
      <c r="E1570" s="30" t="s">
        <v>105</v>
      </c>
      <c r="F1570" s="31" t="s">
        <v>106</v>
      </c>
      <c r="G1570" s="169" t="s">
        <v>107</v>
      </c>
      <c r="H1570" s="43" t="s">
        <v>108</v>
      </c>
      <c r="I1570" s="44" t="s">
        <v>109</v>
      </c>
      <c r="J1570" s="55" t="s">
        <v>110</v>
      </c>
      <c r="K1570" s="43" t="s">
        <v>111</v>
      </c>
      <c r="L1570" s="44" t="s">
        <v>109</v>
      </c>
      <c r="M1570" s="55" t="s">
        <v>110</v>
      </c>
      <c r="N1570" s="37"/>
    </row>
    <row r="1571" spans="1:14" ht="15" thickBot="1">
      <c r="B1571" s="21" t="s">
        <v>112</v>
      </c>
      <c r="C1571" s="274" t="s">
        <v>2859</v>
      </c>
      <c r="D1571" s="1162" t="s">
        <v>114</v>
      </c>
      <c r="E1571" s="246" t="s">
        <v>2860</v>
      </c>
      <c r="F1571" s="1118" t="s">
        <v>109</v>
      </c>
      <c r="G1571" s="1368">
        <v>2.7</v>
      </c>
      <c r="H1571" s="1112">
        <v>7</v>
      </c>
      <c r="I1571" s="1113">
        <v>13.5626</v>
      </c>
      <c r="J1571" s="1136">
        <v>56.238</v>
      </c>
      <c r="K1571" s="1112">
        <v>40</v>
      </c>
      <c r="L1571" s="1113">
        <v>542.5</v>
      </c>
      <c r="M1571" s="1136">
        <v>2249.52</v>
      </c>
      <c r="N1571" s="355"/>
    </row>
    <row r="1572" spans="1:14" ht="15" thickBot="1">
      <c r="C1572" s="252" t="s">
        <v>2861</v>
      </c>
      <c r="D1572" s="1163"/>
      <c r="E1572" s="241" t="s">
        <v>2862</v>
      </c>
      <c r="F1572" s="1120"/>
      <c r="G1572" s="1690"/>
      <c r="H1572" s="1690"/>
      <c r="I1572" s="1692"/>
      <c r="J1572" s="1694"/>
      <c r="K1572" s="1690"/>
      <c r="L1572" s="1692"/>
      <c r="M1572" s="1694"/>
      <c r="N1572" s="355"/>
    </row>
    <row r="1573" spans="1:14" ht="15" thickBot="1">
      <c r="B1573" s="602" t="s">
        <v>654</v>
      </c>
      <c r="C1573" s="250" t="s">
        <v>2863</v>
      </c>
      <c r="D1573" s="1162" t="s">
        <v>114</v>
      </c>
      <c r="E1573" s="240" t="s">
        <v>2864</v>
      </c>
      <c r="F1573" s="1118" t="s">
        <v>109</v>
      </c>
      <c r="G1573" s="1368">
        <v>1.75</v>
      </c>
      <c r="H1573" s="1112">
        <v>9</v>
      </c>
      <c r="I1573" s="1113">
        <v>17.440000000000001</v>
      </c>
      <c r="J1573" s="1136">
        <v>68.75</v>
      </c>
      <c r="K1573" s="1112">
        <v>32</v>
      </c>
      <c r="L1573" s="1113">
        <v>558</v>
      </c>
      <c r="M1573" s="1136">
        <v>2200.0300000000002</v>
      </c>
      <c r="N1573" s="355"/>
    </row>
    <row r="1574" spans="1:14" ht="15" thickBot="1">
      <c r="B1574" s="602" t="s">
        <v>654</v>
      </c>
      <c r="C1574" s="274" t="s">
        <v>2865</v>
      </c>
      <c r="D1574" s="1164"/>
      <c r="E1574" s="246" t="s">
        <v>2860</v>
      </c>
      <c r="F1574" s="1119"/>
      <c r="G1574" s="1686"/>
      <c r="H1574" s="1686"/>
      <c r="I1574" s="1687"/>
      <c r="J1574" s="1689"/>
      <c r="K1574" s="1686"/>
      <c r="L1574" s="1687"/>
      <c r="M1574" s="1689"/>
      <c r="N1574" s="355"/>
    </row>
    <row r="1575" spans="1:14" ht="15" customHeight="1" thickBot="1">
      <c r="B1575" s="602" t="s">
        <v>654</v>
      </c>
      <c r="C1575" s="252" t="s">
        <v>2866</v>
      </c>
      <c r="D1575" s="1163"/>
      <c r="E1575" s="241" t="s">
        <v>2862</v>
      </c>
      <c r="F1575" s="1120"/>
      <c r="G1575" s="1690"/>
      <c r="H1575" s="1690"/>
      <c r="I1575" s="1692"/>
      <c r="J1575" s="1694"/>
      <c r="K1575" s="1690"/>
      <c r="L1575" s="1692"/>
      <c r="M1575" s="1694"/>
      <c r="N1575" s="355"/>
    </row>
    <row r="1576" spans="1:14" ht="15" thickBot="1">
      <c r="B1576" s="21" t="s">
        <v>326</v>
      </c>
      <c r="C1576" s="274" t="s">
        <v>2867</v>
      </c>
      <c r="D1576" s="1162" t="s">
        <v>227</v>
      </c>
      <c r="E1576" s="268" t="s">
        <v>2868</v>
      </c>
      <c r="F1576" s="1144" t="s">
        <v>108</v>
      </c>
      <c r="G1576" s="1368">
        <v>4.74</v>
      </c>
      <c r="H1576" s="1405">
        <v>20</v>
      </c>
      <c r="I1576" s="1113">
        <v>4.5208000000000004</v>
      </c>
      <c r="J1576" s="1308">
        <v>19.420000000000002</v>
      </c>
      <c r="K1576" s="1112">
        <v>112</v>
      </c>
      <c r="L1576" s="1113">
        <v>506.24</v>
      </c>
      <c r="M1576" s="1136">
        <v>2175.04</v>
      </c>
      <c r="N1576" s="355"/>
    </row>
    <row r="1577" spans="1:14" s="94" customFormat="1" ht="15" customHeight="1" thickBot="1">
      <c r="A1577" s="93"/>
      <c r="B1577" s="21"/>
      <c r="C1577" s="252" t="s">
        <v>2869</v>
      </c>
      <c r="D1577" s="1163"/>
      <c r="E1577" s="1" t="s">
        <v>2870</v>
      </c>
      <c r="F1577" s="1169"/>
      <c r="G1577" s="1690"/>
      <c r="H1577" s="1690"/>
      <c r="I1577" s="1692"/>
      <c r="J1577" s="1694"/>
      <c r="K1577" s="1690"/>
      <c r="L1577" s="1692"/>
      <c r="M1577" s="1694"/>
      <c r="N1577" s="355"/>
    </row>
    <row r="1578" spans="1:14" ht="15" thickBot="1">
      <c r="D1578" s="243"/>
      <c r="E1578" s="242"/>
      <c r="F1578" s="243"/>
      <c r="G1578" s="243"/>
      <c r="H1578" s="243"/>
      <c r="I1578" s="328"/>
      <c r="J1578" s="328"/>
      <c r="K1578" s="243"/>
      <c r="L1578" s="328"/>
      <c r="M1578" s="328"/>
      <c r="N1578" s="328"/>
    </row>
    <row r="1579" spans="1:14" ht="27.75" customHeight="1" thickBot="1">
      <c r="C1579" s="63" t="s">
        <v>2871</v>
      </c>
      <c r="E1579" s="243"/>
      <c r="F1579" s="21"/>
      <c r="G1579" s="323"/>
      <c r="H1579" s="1133" t="s">
        <v>101</v>
      </c>
      <c r="I1579" s="1675"/>
      <c r="J1579" s="1676"/>
      <c r="K1579" s="1133" t="s">
        <v>102</v>
      </c>
      <c r="L1579" s="1675"/>
      <c r="M1579" s="1676"/>
      <c r="N1579" s="26"/>
    </row>
    <row r="1580" spans="1:14" s="94" customFormat="1" ht="15" customHeight="1" thickBot="1">
      <c r="A1580" s="93"/>
      <c r="B1580" s="511"/>
      <c r="C1580" s="29" t="s">
        <v>103</v>
      </c>
      <c r="D1580" s="32" t="s">
        <v>104</v>
      </c>
      <c r="E1580" s="42" t="s">
        <v>105</v>
      </c>
      <c r="F1580" s="32" t="s">
        <v>106</v>
      </c>
      <c r="G1580" s="32" t="s">
        <v>107</v>
      </c>
      <c r="H1580" s="175" t="s">
        <v>108</v>
      </c>
      <c r="I1580" s="44" t="s">
        <v>109</v>
      </c>
      <c r="J1580" s="193" t="s">
        <v>110</v>
      </c>
      <c r="K1580" s="43" t="s">
        <v>111</v>
      </c>
      <c r="L1580" s="44" t="s">
        <v>109</v>
      </c>
      <c r="M1580" s="55" t="s">
        <v>110</v>
      </c>
      <c r="N1580" s="37"/>
    </row>
    <row r="1581" spans="1:14" s="94" customFormat="1" ht="15" thickBot="1">
      <c r="A1581" s="93"/>
      <c r="B1581" s="21" t="s">
        <v>112</v>
      </c>
      <c r="C1581" s="912" t="s">
        <v>2872</v>
      </c>
      <c r="D1581" s="1118" t="s">
        <v>119</v>
      </c>
      <c r="E1581" s="929" t="s">
        <v>2873</v>
      </c>
      <c r="F1581" s="1179" t="s">
        <v>109</v>
      </c>
      <c r="G1581" s="1353">
        <v>2.1</v>
      </c>
      <c r="H1581" s="1117">
        <v>3</v>
      </c>
      <c r="I1581" s="1114" t="s">
        <v>2874</v>
      </c>
      <c r="J1581" s="1116">
        <v>84.66</v>
      </c>
      <c r="K1581" s="1117">
        <v>30</v>
      </c>
      <c r="L1581" s="1114" t="s">
        <v>2875</v>
      </c>
      <c r="M1581" s="1116">
        <v>2540</v>
      </c>
      <c r="N1581" s="159"/>
    </row>
    <row r="1582" spans="1:14" ht="15" thickBot="1">
      <c r="C1582" s="915" t="s">
        <v>2876</v>
      </c>
      <c r="D1582" s="1120"/>
      <c r="E1582" s="928" t="s">
        <v>2877</v>
      </c>
      <c r="F1582" s="1180"/>
      <c r="G1582" s="1690"/>
      <c r="H1582" s="1690"/>
      <c r="I1582" s="1692"/>
      <c r="J1582" s="1694"/>
      <c r="K1582" s="1690"/>
      <c r="L1582" s="1692"/>
      <c r="M1582" s="1694"/>
      <c r="N1582" s="328"/>
    </row>
    <row r="1583" spans="1:14" ht="15" thickBot="1">
      <c r="D1583" s="243"/>
      <c r="E1583" s="243"/>
      <c r="F1583" s="414"/>
      <c r="G1583" s="243"/>
      <c r="H1583" s="328"/>
      <c r="I1583" s="328"/>
      <c r="J1583" s="243"/>
      <c r="K1583" s="328"/>
      <c r="L1583" s="328"/>
      <c r="M1583" s="20"/>
      <c r="N1583" s="20"/>
    </row>
    <row r="1584" spans="1:14" ht="27.75" customHeight="1" thickBot="1">
      <c r="C1584" s="63" t="s">
        <v>2878</v>
      </c>
      <c r="E1584" s="243"/>
      <c r="F1584" s="21"/>
      <c r="G1584" s="323"/>
      <c r="H1584" s="1133" t="s">
        <v>101</v>
      </c>
      <c r="I1584" s="1675"/>
      <c r="J1584" s="1676"/>
      <c r="K1584" s="1133" t="s">
        <v>102</v>
      </c>
      <c r="L1584" s="1675"/>
      <c r="M1584" s="1676"/>
      <c r="N1584" s="26"/>
    </row>
    <row r="1585" spans="1:14" s="94" customFormat="1" ht="15" customHeight="1" thickBot="1">
      <c r="A1585" s="93"/>
      <c r="B1585" s="21"/>
      <c r="C1585" s="28" t="s">
        <v>103</v>
      </c>
      <c r="D1585" s="32" t="s">
        <v>104</v>
      </c>
      <c r="E1585" s="30" t="s">
        <v>105</v>
      </c>
      <c r="F1585" s="32" t="s">
        <v>106</v>
      </c>
      <c r="G1585" s="32" t="s">
        <v>107</v>
      </c>
      <c r="H1585" s="169" t="s">
        <v>108</v>
      </c>
      <c r="I1585" s="34" t="s">
        <v>109</v>
      </c>
      <c r="J1585" s="73" t="s">
        <v>110</v>
      </c>
      <c r="K1585" s="33" t="s">
        <v>111</v>
      </c>
      <c r="L1585" s="34" t="s">
        <v>109</v>
      </c>
      <c r="M1585" s="36" t="s">
        <v>110</v>
      </c>
      <c r="N1585" s="37"/>
    </row>
    <row r="1586" spans="1:14" s="94" customFormat="1" ht="15" customHeight="1" thickBot="1">
      <c r="A1586" s="93"/>
      <c r="B1586" s="21" t="s">
        <v>112</v>
      </c>
      <c r="C1586" s="257" t="s">
        <v>2879</v>
      </c>
      <c r="D1586" s="255" t="s">
        <v>119</v>
      </c>
      <c r="E1586" s="267" t="s">
        <v>2880</v>
      </c>
      <c r="F1586" s="226" t="s">
        <v>109</v>
      </c>
      <c r="G1586" s="226">
        <v>2.1</v>
      </c>
      <c r="H1586" s="155">
        <v>2</v>
      </c>
      <c r="I1586" s="156">
        <v>15.5</v>
      </c>
      <c r="J1586" s="158">
        <v>67.239999999999995</v>
      </c>
      <c r="K1586" s="155">
        <v>30</v>
      </c>
      <c r="L1586" s="331">
        <v>465</v>
      </c>
      <c r="M1586" s="158">
        <v>2017.2</v>
      </c>
      <c r="N1586" s="159"/>
    </row>
    <row r="1587" spans="1:14" ht="15" thickBot="1">
      <c r="C1587" s="250" t="s">
        <v>2881</v>
      </c>
      <c r="D1587" s="1118" t="s">
        <v>114</v>
      </c>
      <c r="E1587" s="240" t="s">
        <v>2882</v>
      </c>
      <c r="F1587" s="1179" t="s">
        <v>109</v>
      </c>
      <c r="G1587" s="553">
        <v>1.98</v>
      </c>
      <c r="H1587" s="1117">
        <v>8</v>
      </c>
      <c r="I1587" s="1128">
        <v>15.5</v>
      </c>
      <c r="J1587" s="1116">
        <v>61</v>
      </c>
      <c r="K1587" s="1117">
        <v>36</v>
      </c>
      <c r="L1587" s="1114">
        <v>558</v>
      </c>
      <c r="M1587" s="1116">
        <v>2196</v>
      </c>
      <c r="N1587" s="328"/>
    </row>
    <row r="1588" spans="1:14" ht="15" thickBot="1">
      <c r="C1588" s="261" t="s">
        <v>2883</v>
      </c>
      <c r="D1588" s="1120"/>
      <c r="E1588" s="1" t="s">
        <v>2884</v>
      </c>
      <c r="F1588" s="1180"/>
      <c r="G1588" s="541">
        <v>1.98</v>
      </c>
      <c r="H1588" s="1690"/>
      <c r="I1588" s="1690"/>
      <c r="J1588" s="1694"/>
      <c r="K1588" s="1690"/>
      <c r="L1588" s="1692"/>
      <c r="M1588" s="1694"/>
      <c r="N1588" s="328"/>
    </row>
    <row r="1589" spans="1:14" ht="15" thickBot="1">
      <c r="C1589" s="422" t="s">
        <v>247</v>
      </c>
      <c r="D1589" s="243"/>
      <c r="E1589" s="242"/>
      <c r="F1589" s="243"/>
      <c r="G1589" s="243"/>
      <c r="H1589" s="243"/>
      <c r="I1589" s="328"/>
      <c r="J1589" s="328"/>
      <c r="K1589" s="243"/>
      <c r="L1589" s="328"/>
      <c r="M1589" s="328"/>
      <c r="N1589" s="328"/>
    </row>
    <row r="1590" spans="1:14" ht="31.5" customHeight="1" thickBot="1">
      <c r="C1590" s="63" t="s">
        <v>2885</v>
      </c>
      <c r="G1590" s="549"/>
      <c r="H1590" s="1133" t="s">
        <v>101</v>
      </c>
      <c r="I1590" s="1675"/>
      <c r="J1590" s="1676"/>
      <c r="K1590" s="1133" t="s">
        <v>102</v>
      </c>
      <c r="L1590" s="1675"/>
      <c r="M1590" s="1676"/>
      <c r="N1590" s="26"/>
    </row>
    <row r="1591" spans="1:14" ht="15" customHeight="1" thickBot="1">
      <c r="C1591" s="29" t="s">
        <v>103</v>
      </c>
      <c r="D1591" s="31" t="s">
        <v>104</v>
      </c>
      <c r="E1591" s="42" t="s">
        <v>105</v>
      </c>
      <c r="F1591" s="31" t="s">
        <v>106</v>
      </c>
      <c r="G1591" s="31" t="s">
        <v>107</v>
      </c>
      <c r="H1591" s="43" t="s">
        <v>108</v>
      </c>
      <c r="I1591" s="44" t="s">
        <v>109</v>
      </c>
      <c r="J1591" s="55" t="s">
        <v>110</v>
      </c>
      <c r="K1591" s="43" t="s">
        <v>111</v>
      </c>
      <c r="L1591" s="44" t="s">
        <v>109</v>
      </c>
      <c r="M1591" s="55" t="s">
        <v>110</v>
      </c>
      <c r="N1591" s="37"/>
    </row>
    <row r="1592" spans="1:14" ht="15" thickBot="1">
      <c r="B1592" s="21" t="s">
        <v>112</v>
      </c>
      <c r="C1592" s="309" t="s">
        <v>2886</v>
      </c>
      <c r="D1592" s="1231" t="s">
        <v>2887</v>
      </c>
      <c r="E1592" s="111" t="s">
        <v>2888</v>
      </c>
      <c r="F1592" s="1143" t="s">
        <v>109</v>
      </c>
      <c r="G1592" s="1353">
        <v>1.07</v>
      </c>
      <c r="H1592" s="1142">
        <v>14</v>
      </c>
      <c r="I1592" s="1114">
        <v>16.47</v>
      </c>
      <c r="J1592" s="1249">
        <v>53.88</v>
      </c>
      <c r="K1592" s="1142">
        <v>72</v>
      </c>
      <c r="L1592" s="1219">
        <v>1185.8399999999999</v>
      </c>
      <c r="M1592" s="1249">
        <v>3879.79</v>
      </c>
      <c r="N1592" s="328"/>
    </row>
    <row r="1593" spans="1:14">
      <c r="C1593" s="316" t="s">
        <v>2889</v>
      </c>
      <c r="D1593" s="1232"/>
      <c r="E1593" s="112" t="s">
        <v>2890</v>
      </c>
      <c r="F1593" s="1144"/>
      <c r="G1593" s="1686"/>
      <c r="H1593" s="1686"/>
      <c r="I1593" s="1687"/>
      <c r="J1593" s="1689"/>
      <c r="K1593" s="1686"/>
      <c r="L1593" s="1687"/>
      <c r="M1593" s="1689"/>
      <c r="N1593" s="328"/>
    </row>
    <row r="1594" spans="1:14">
      <c r="C1594" s="316" t="s">
        <v>2891</v>
      </c>
      <c r="D1594" s="1232"/>
      <c r="E1594" s="112" t="s">
        <v>2892</v>
      </c>
      <c r="F1594" s="1144"/>
      <c r="G1594" s="1686"/>
      <c r="H1594" s="1686"/>
      <c r="I1594" s="1687"/>
      <c r="J1594" s="1689"/>
      <c r="K1594" s="1686"/>
      <c r="L1594" s="1687"/>
      <c r="M1594" s="1689"/>
      <c r="N1594" s="328"/>
    </row>
    <row r="1595" spans="1:14" ht="15" thickBot="1">
      <c r="C1595" s="311" t="s">
        <v>2893</v>
      </c>
      <c r="D1595" s="1233"/>
      <c r="E1595" s="64" t="s">
        <v>2894</v>
      </c>
      <c r="F1595" s="1169"/>
      <c r="G1595" s="1690"/>
      <c r="H1595" s="1691"/>
      <c r="I1595" s="1692"/>
      <c r="J1595" s="1705"/>
      <c r="K1595" s="1691"/>
      <c r="L1595" s="1718"/>
      <c r="M1595" s="1705"/>
      <c r="N1595" s="328"/>
    </row>
    <row r="1596" spans="1:14" ht="15" thickBot="1">
      <c r="C1596" s="309" t="s">
        <v>2895</v>
      </c>
      <c r="D1596" s="1231" t="s">
        <v>2896</v>
      </c>
      <c r="E1596" s="111" t="s">
        <v>2897</v>
      </c>
      <c r="F1596" s="1143" t="s">
        <v>109</v>
      </c>
      <c r="G1596" s="1353">
        <v>1.07</v>
      </c>
      <c r="H1596" s="1142">
        <v>8</v>
      </c>
      <c r="I1596" s="1114">
        <v>16.579999999999998</v>
      </c>
      <c r="J1596" s="1249">
        <v>63.12</v>
      </c>
      <c r="K1596" s="1142">
        <v>56</v>
      </c>
      <c r="L1596" s="1219" t="s">
        <v>2898</v>
      </c>
      <c r="M1596" s="1249" t="s">
        <v>2899</v>
      </c>
      <c r="N1596" s="328"/>
    </row>
    <row r="1597" spans="1:14">
      <c r="C1597" s="316" t="s">
        <v>2900</v>
      </c>
      <c r="D1597" s="1232"/>
      <c r="E1597" s="112" t="s">
        <v>2901</v>
      </c>
      <c r="F1597" s="1144"/>
      <c r="G1597" s="1686"/>
      <c r="H1597" s="1686"/>
      <c r="I1597" s="1687"/>
      <c r="J1597" s="1689"/>
      <c r="K1597" s="1686"/>
      <c r="L1597" s="1687"/>
      <c r="M1597" s="1689"/>
      <c r="N1597" s="328"/>
    </row>
    <row r="1598" spans="1:14">
      <c r="C1598" s="316" t="s">
        <v>2902</v>
      </c>
      <c r="D1598" s="1232"/>
      <c r="E1598" s="112" t="s">
        <v>2903</v>
      </c>
      <c r="F1598" s="1144"/>
      <c r="G1598" s="1686"/>
      <c r="H1598" s="1686"/>
      <c r="I1598" s="1687"/>
      <c r="J1598" s="1689"/>
      <c r="K1598" s="1686"/>
      <c r="L1598" s="1687"/>
      <c r="M1598" s="1689"/>
      <c r="N1598" s="328"/>
    </row>
    <row r="1599" spans="1:14" ht="15" thickBot="1">
      <c r="C1599" s="311" t="s">
        <v>2904</v>
      </c>
      <c r="D1599" s="1233"/>
      <c r="E1599" s="64" t="s">
        <v>2905</v>
      </c>
      <c r="F1599" s="1169"/>
      <c r="G1599" s="1690"/>
      <c r="H1599" s="1691"/>
      <c r="I1599" s="1692"/>
      <c r="J1599" s="1705"/>
      <c r="K1599" s="1691"/>
      <c r="L1599" s="1718"/>
      <c r="M1599" s="1705"/>
      <c r="N1599" s="328"/>
    </row>
    <row r="1600" spans="1:14" ht="15" thickBot="1">
      <c r="C1600" s="309" t="s">
        <v>2906</v>
      </c>
      <c r="D1600" s="1231" t="s">
        <v>114</v>
      </c>
      <c r="E1600" s="111" t="s">
        <v>2907</v>
      </c>
      <c r="F1600" s="1143" t="s">
        <v>109</v>
      </c>
      <c r="G1600" s="1353">
        <v>1.19</v>
      </c>
      <c r="H1600" s="1142">
        <v>10</v>
      </c>
      <c r="I1600" s="1114">
        <v>19.38</v>
      </c>
      <c r="J1600" s="1249">
        <v>70.11</v>
      </c>
      <c r="K1600" s="1142">
        <v>32</v>
      </c>
      <c r="L1600" s="1219">
        <v>620</v>
      </c>
      <c r="M1600" s="1249">
        <v>2243.52</v>
      </c>
      <c r="N1600" s="328"/>
    </row>
    <row r="1601" spans="2:14">
      <c r="C1601" s="316" t="s">
        <v>2908</v>
      </c>
      <c r="D1601" s="1232"/>
      <c r="E1601" s="112" t="s">
        <v>2909</v>
      </c>
      <c r="F1601" s="1144"/>
      <c r="G1601" s="1686"/>
      <c r="H1601" s="1686"/>
      <c r="I1601" s="1687"/>
      <c r="J1601" s="1689"/>
      <c r="K1601" s="1686"/>
      <c r="L1601" s="1687"/>
      <c r="M1601" s="1689"/>
      <c r="N1601" s="328"/>
    </row>
    <row r="1602" spans="2:14">
      <c r="C1602" s="316" t="s">
        <v>2910</v>
      </c>
      <c r="D1602" s="1232"/>
      <c r="E1602" s="112" t="s">
        <v>2911</v>
      </c>
      <c r="F1602" s="1144"/>
      <c r="G1602" s="1686"/>
      <c r="H1602" s="1686"/>
      <c r="I1602" s="1687"/>
      <c r="J1602" s="1689"/>
      <c r="K1602" s="1686"/>
      <c r="L1602" s="1687"/>
      <c r="M1602" s="1689"/>
      <c r="N1602" s="328"/>
    </row>
    <row r="1603" spans="2:14" ht="15" thickBot="1">
      <c r="C1603" s="311" t="s">
        <v>2912</v>
      </c>
      <c r="D1603" s="1233"/>
      <c r="E1603" s="64" t="s">
        <v>2913</v>
      </c>
      <c r="F1603" s="1169"/>
      <c r="G1603" s="1690"/>
      <c r="H1603" s="1691"/>
      <c r="I1603" s="1692"/>
      <c r="J1603" s="1705"/>
      <c r="K1603" s="1691"/>
      <c r="L1603" s="1718"/>
      <c r="M1603" s="1705"/>
      <c r="N1603" s="328"/>
    </row>
    <row r="1604" spans="2:14" ht="15" customHeight="1" thickBot="1">
      <c r="C1604" s="422"/>
      <c r="D1604" s="323"/>
      <c r="E1604" s="323"/>
      <c r="F1604" s="323"/>
      <c r="G1604" s="323"/>
      <c r="H1604" s="242"/>
      <c r="I1604" s="323"/>
      <c r="J1604" s="242"/>
      <c r="K1604" s="323"/>
      <c r="L1604" s="242"/>
      <c r="M1604" s="323"/>
      <c r="N1604" s="323"/>
    </row>
    <row r="1605" spans="2:14" ht="27" customHeight="1" thickBot="1">
      <c r="C1605" s="63" t="s">
        <v>2914</v>
      </c>
      <c r="D1605" s="41"/>
      <c r="G1605" s="549"/>
      <c r="H1605" s="1133" t="s">
        <v>101</v>
      </c>
      <c r="I1605" s="1675"/>
      <c r="J1605" s="1676"/>
      <c r="K1605" s="1133" t="s">
        <v>102</v>
      </c>
      <c r="L1605" s="1675"/>
      <c r="M1605" s="1676"/>
      <c r="N1605" s="26"/>
    </row>
    <row r="1606" spans="2:14" ht="15" customHeight="1" thickBot="1">
      <c r="B1606" s="51"/>
      <c r="C1606" s="28" t="s">
        <v>103</v>
      </c>
      <c r="D1606" s="32" t="s">
        <v>104</v>
      </c>
      <c r="E1606" s="30" t="s">
        <v>105</v>
      </c>
      <c r="F1606" s="32" t="s">
        <v>106</v>
      </c>
      <c r="G1606" s="32" t="s">
        <v>107</v>
      </c>
      <c r="H1606" s="33" t="s">
        <v>108</v>
      </c>
      <c r="I1606" s="34" t="s">
        <v>109</v>
      </c>
      <c r="J1606" s="36" t="s">
        <v>110</v>
      </c>
      <c r="K1606" s="53" t="s">
        <v>111</v>
      </c>
      <c r="L1606" s="34" t="s">
        <v>109</v>
      </c>
      <c r="M1606" s="36" t="s">
        <v>110</v>
      </c>
      <c r="N1606" s="37"/>
    </row>
    <row r="1607" spans="2:14" ht="15" customHeight="1" thickBot="1">
      <c r="B1607" s="21" t="s">
        <v>213</v>
      </c>
      <c r="C1607" s="257" t="s">
        <v>2915</v>
      </c>
      <c r="D1607" s="255" t="s">
        <v>2856</v>
      </c>
      <c r="E1607" s="267" t="s">
        <v>2916</v>
      </c>
      <c r="F1607" s="255" t="s">
        <v>109</v>
      </c>
      <c r="G1607" s="226">
        <v>3.6</v>
      </c>
      <c r="H1607" s="324">
        <v>2</v>
      </c>
      <c r="I1607" s="325">
        <v>10.33</v>
      </c>
      <c r="J1607" s="326">
        <v>43.805999999999997</v>
      </c>
      <c r="K1607" s="370">
        <v>40</v>
      </c>
      <c r="L1607" s="325">
        <v>413.33</v>
      </c>
      <c r="M1607" s="326">
        <v>1752.24</v>
      </c>
      <c r="N1607" s="328"/>
    </row>
    <row r="1608" spans="2:14" ht="15" customHeight="1" thickBot="1">
      <c r="C1608" s="256"/>
      <c r="D1608" s="243"/>
      <c r="E1608" s="242"/>
      <c r="F1608" s="243"/>
      <c r="G1608" s="243"/>
      <c r="H1608" s="243"/>
      <c r="I1608" s="328"/>
      <c r="J1608" s="328"/>
      <c r="K1608" s="243"/>
      <c r="L1608" s="328"/>
      <c r="M1608" s="328"/>
      <c r="N1608" s="328"/>
    </row>
    <row r="1609" spans="2:14" ht="32.1" customHeight="1" thickBot="1">
      <c r="C1609" s="63" t="s">
        <v>2917</v>
      </c>
      <c r="G1609" s="549"/>
      <c r="H1609" s="1133" t="s">
        <v>101</v>
      </c>
      <c r="I1609" s="1675"/>
      <c r="J1609" s="1676"/>
      <c r="K1609" s="1133" t="s">
        <v>102</v>
      </c>
      <c r="L1609" s="1675"/>
      <c r="M1609" s="1676"/>
      <c r="N1609" s="26"/>
    </row>
    <row r="1610" spans="2:14" ht="15" customHeight="1" thickBot="1">
      <c r="C1610" s="29" t="s">
        <v>103</v>
      </c>
      <c r="D1610" s="31" t="s">
        <v>104</v>
      </c>
      <c r="E1610" s="42" t="s">
        <v>105</v>
      </c>
      <c r="F1610" s="31" t="s">
        <v>106</v>
      </c>
      <c r="G1610" s="31" t="s">
        <v>107</v>
      </c>
      <c r="H1610" s="43" t="s">
        <v>108</v>
      </c>
      <c r="I1610" s="44" t="s">
        <v>109</v>
      </c>
      <c r="J1610" s="55" t="s">
        <v>110</v>
      </c>
      <c r="K1610" s="43" t="s">
        <v>111</v>
      </c>
      <c r="L1610" s="44" t="s">
        <v>109</v>
      </c>
      <c r="M1610" s="55" t="s">
        <v>110</v>
      </c>
      <c r="N1610" s="37"/>
    </row>
    <row r="1611" spans="2:14" ht="15" thickBot="1">
      <c r="B1611" s="21" t="s">
        <v>213</v>
      </c>
      <c r="C1611" s="250" t="s">
        <v>2918</v>
      </c>
      <c r="D1611" s="1118" t="s">
        <v>880</v>
      </c>
      <c r="E1611" s="240" t="s">
        <v>2919</v>
      </c>
      <c r="F1611" s="1143" t="s">
        <v>109</v>
      </c>
      <c r="G1611" s="1353">
        <v>1.8</v>
      </c>
      <c r="H1611" s="1142">
        <v>14</v>
      </c>
      <c r="I1611" s="1114">
        <v>19.61</v>
      </c>
      <c r="J1611" s="1249">
        <v>52.16</v>
      </c>
      <c r="K1611" s="1142">
        <v>40</v>
      </c>
      <c r="L1611" s="1219">
        <v>784.48</v>
      </c>
      <c r="M1611" s="1249">
        <v>2148.16</v>
      </c>
      <c r="N1611" s="328"/>
    </row>
    <row r="1612" spans="2:14">
      <c r="C1612" s="251" t="s">
        <v>2920</v>
      </c>
      <c r="D1612" s="1119"/>
      <c r="E1612" s="241" t="s">
        <v>2921</v>
      </c>
      <c r="F1612" s="1144"/>
      <c r="G1612" s="1686"/>
      <c r="H1612" s="1686"/>
      <c r="I1612" s="1687"/>
      <c r="J1612" s="1689"/>
      <c r="K1612" s="1686"/>
      <c r="L1612" s="1687"/>
      <c r="M1612" s="1689"/>
      <c r="N1612" s="328"/>
    </row>
    <row r="1613" spans="2:14" ht="15" thickBot="1">
      <c r="C1613" s="252" t="s">
        <v>2922</v>
      </c>
      <c r="D1613" s="1120"/>
      <c r="E1613" s="1" t="s">
        <v>2923</v>
      </c>
      <c r="F1613" s="1169"/>
      <c r="G1613" s="1690"/>
      <c r="H1613" s="1691"/>
      <c r="I1613" s="1692"/>
      <c r="J1613" s="1705"/>
      <c r="K1613" s="1691"/>
      <c r="L1613" s="1718"/>
      <c r="M1613" s="1705"/>
      <c r="N1613" s="328"/>
    </row>
    <row r="1614" spans="2:14" ht="15" thickBot="1">
      <c r="C1614" s="256"/>
      <c r="D1614" s="243"/>
      <c r="E1614" s="242"/>
      <c r="F1614" s="243"/>
      <c r="G1614" s="243"/>
      <c r="H1614" s="243"/>
      <c r="I1614" s="328"/>
      <c r="J1614" s="328"/>
      <c r="K1614" s="243"/>
      <c r="L1614" s="328"/>
      <c r="M1614" s="328"/>
      <c r="N1614" s="328"/>
    </row>
    <row r="1615" spans="2:14" ht="32.1" customHeight="1" thickBot="1">
      <c r="C1615" s="63" t="s">
        <v>2924</v>
      </c>
      <c r="G1615" s="549"/>
      <c r="H1615" s="1133" t="s">
        <v>101</v>
      </c>
      <c r="I1615" s="1675"/>
      <c r="J1615" s="1676"/>
      <c r="K1615" s="1133" t="s">
        <v>102</v>
      </c>
      <c r="L1615" s="1675"/>
      <c r="M1615" s="1676"/>
      <c r="N1615" s="26"/>
    </row>
    <row r="1616" spans="2:14" ht="15" customHeight="1">
      <c r="C1616" s="29" t="s">
        <v>103</v>
      </c>
      <c r="D1616" s="31" t="s">
        <v>104</v>
      </c>
      <c r="E1616" s="42" t="s">
        <v>105</v>
      </c>
      <c r="F1616" s="31" t="s">
        <v>106</v>
      </c>
      <c r="G1616" s="32" t="s">
        <v>107</v>
      </c>
      <c r="H1616" s="43" t="s">
        <v>108</v>
      </c>
      <c r="I1616" s="44" t="s">
        <v>109</v>
      </c>
      <c r="J1616" s="55" t="s">
        <v>110</v>
      </c>
      <c r="K1616" s="43" t="s">
        <v>111</v>
      </c>
      <c r="L1616" s="44" t="s">
        <v>109</v>
      </c>
      <c r="M1616" s="55" t="s">
        <v>110</v>
      </c>
      <c r="N1616" s="37"/>
    </row>
    <row r="1617" spans="2:14" ht="15">
      <c r="B1617" s="21" t="s">
        <v>213</v>
      </c>
      <c r="C1617" s="223" t="s">
        <v>2925</v>
      </c>
      <c r="D1617" s="1118" t="s">
        <v>2926</v>
      </c>
      <c r="E1617" s="305" t="s">
        <v>2927</v>
      </c>
      <c r="F1617" s="1118" t="s">
        <v>109</v>
      </c>
      <c r="G1617" s="1353">
        <v>4.5</v>
      </c>
      <c r="H1617" s="1142">
        <v>40</v>
      </c>
      <c r="I1617" s="1114">
        <v>11.09</v>
      </c>
      <c r="J1617" s="1195">
        <v>33.159999999999997</v>
      </c>
      <c r="K1617" s="1117">
        <v>72</v>
      </c>
      <c r="L1617" s="1114">
        <v>798.48</v>
      </c>
      <c r="M1617" s="1116">
        <v>2387.52</v>
      </c>
      <c r="N1617" s="328"/>
    </row>
    <row r="1618" spans="2:14" ht="14.45" customHeight="1">
      <c r="C1618" s="224" t="s">
        <v>2928</v>
      </c>
      <c r="D1618" s="1119"/>
      <c r="E1618" s="241" t="s">
        <v>2929</v>
      </c>
      <c r="F1618" s="1119"/>
      <c r="G1618" s="1686"/>
      <c r="H1618" s="1686"/>
      <c r="I1618" s="1687"/>
      <c r="J1618" s="1688"/>
      <c r="K1618" s="1686"/>
      <c r="L1618" s="1687"/>
      <c r="M1618" s="1689"/>
      <c r="N1618" s="328"/>
    </row>
    <row r="1619" spans="2:14" ht="14.45" customHeight="1">
      <c r="C1619" s="224" t="s">
        <v>2930</v>
      </c>
      <c r="D1619" s="1119"/>
      <c r="E1619" s="241" t="s">
        <v>2931</v>
      </c>
      <c r="F1619" s="1119"/>
      <c r="G1619" s="1686"/>
      <c r="H1619" s="1686"/>
      <c r="I1619" s="1687"/>
      <c r="J1619" s="1688"/>
      <c r="K1619" s="1686"/>
      <c r="L1619" s="1687"/>
      <c r="M1619" s="1689"/>
      <c r="N1619" s="328"/>
    </row>
    <row r="1620" spans="2:14" ht="14.45" customHeight="1">
      <c r="C1620" s="224" t="s">
        <v>2932</v>
      </c>
      <c r="D1620" s="1119"/>
      <c r="E1620" s="241" t="s">
        <v>2933</v>
      </c>
      <c r="F1620" s="1119"/>
      <c r="G1620" s="1686"/>
      <c r="H1620" s="1686"/>
      <c r="I1620" s="1687"/>
      <c r="J1620" s="1688"/>
      <c r="K1620" s="1686"/>
      <c r="L1620" s="1687"/>
      <c r="M1620" s="1689"/>
      <c r="N1620" s="328"/>
    </row>
    <row r="1621" spans="2:14" ht="15">
      <c r="C1621" s="216" t="s">
        <v>2934</v>
      </c>
      <c r="D1621" s="1120"/>
      <c r="E1621" s="262" t="s">
        <v>2935</v>
      </c>
      <c r="F1621" s="1120"/>
      <c r="G1621" s="1690"/>
      <c r="H1621" s="1691"/>
      <c r="I1621" s="1692"/>
      <c r="J1621" s="1693"/>
      <c r="K1621" s="1690"/>
      <c r="L1621" s="1692"/>
      <c r="M1621" s="1694"/>
      <c r="N1621" s="328"/>
    </row>
    <row r="1622" spans="2:14" ht="15">
      <c r="C1622" s="223" t="s">
        <v>2936</v>
      </c>
      <c r="D1622" s="1118" t="s">
        <v>2937</v>
      </c>
      <c r="E1622" s="305" t="s">
        <v>2938</v>
      </c>
      <c r="F1622" s="1118" t="s">
        <v>108</v>
      </c>
      <c r="G1622" s="1353">
        <v>5.7</v>
      </c>
      <c r="H1622" s="1142">
        <v>40</v>
      </c>
      <c r="I1622" s="1114">
        <v>3.4014000000000002</v>
      </c>
      <c r="J1622" s="1195">
        <v>9.2799999999999994</v>
      </c>
      <c r="K1622" s="1117">
        <v>72</v>
      </c>
      <c r="L1622" s="1114">
        <v>244.9008</v>
      </c>
      <c r="M1622" s="1116">
        <v>668.16</v>
      </c>
      <c r="N1622" s="328"/>
    </row>
    <row r="1623" spans="2:14">
      <c r="C1623" s="224" t="s">
        <v>2939</v>
      </c>
      <c r="D1623" s="1119"/>
      <c r="E1623" s="241" t="s">
        <v>2940</v>
      </c>
      <c r="F1623" s="1119"/>
      <c r="G1623" s="1686"/>
      <c r="H1623" s="1686"/>
      <c r="I1623" s="1687"/>
      <c r="J1623" s="1688"/>
      <c r="K1623" s="1686"/>
      <c r="L1623" s="1687"/>
      <c r="M1623" s="1689"/>
      <c r="N1623" s="328"/>
    </row>
    <row r="1624" spans="2:14">
      <c r="C1624" s="224" t="s">
        <v>2941</v>
      </c>
      <c r="D1624" s="1119"/>
      <c r="E1624" s="241" t="s">
        <v>2942</v>
      </c>
      <c r="F1624" s="1119"/>
      <c r="G1624" s="1686"/>
      <c r="H1624" s="1686"/>
      <c r="I1624" s="1687"/>
      <c r="J1624" s="1688"/>
      <c r="K1624" s="1686"/>
      <c r="L1624" s="1687"/>
      <c r="M1624" s="1689"/>
      <c r="N1624" s="328"/>
    </row>
    <row r="1625" spans="2:14">
      <c r="C1625" s="224" t="s">
        <v>2943</v>
      </c>
      <c r="D1625" s="1119"/>
      <c r="E1625" s="241" t="s">
        <v>2944</v>
      </c>
      <c r="F1625" s="1119"/>
      <c r="G1625" s="1686"/>
      <c r="H1625" s="1686"/>
      <c r="I1625" s="1687"/>
      <c r="J1625" s="1688"/>
      <c r="K1625" s="1686"/>
      <c r="L1625" s="1687"/>
      <c r="M1625" s="1689"/>
      <c r="N1625" s="328"/>
    </row>
    <row r="1626" spans="2:14" ht="15" thickBot="1">
      <c r="C1626" s="216" t="s">
        <v>2945</v>
      </c>
      <c r="D1626" s="1120"/>
      <c r="E1626" s="262" t="s">
        <v>2946</v>
      </c>
      <c r="F1626" s="1120"/>
      <c r="G1626" s="1690"/>
      <c r="H1626" s="1691"/>
      <c r="I1626" s="1692"/>
      <c r="J1626" s="1693"/>
      <c r="K1626" s="1690"/>
      <c r="L1626" s="1692"/>
      <c r="M1626" s="1694"/>
      <c r="N1626" s="328"/>
    </row>
    <row r="1627" spans="2:14" ht="15" thickBot="1">
      <c r="C1627" s="256"/>
      <c r="D1627" s="243"/>
      <c r="E1627" s="242"/>
      <c r="F1627" s="243"/>
      <c r="G1627" s="323"/>
      <c r="H1627" s="243"/>
      <c r="I1627" s="328"/>
      <c r="J1627" s="328"/>
      <c r="K1627" s="243"/>
      <c r="L1627" s="328"/>
      <c r="M1627" s="328"/>
      <c r="N1627" s="328"/>
    </row>
    <row r="1628" spans="2:14" ht="31.5" customHeight="1" thickBot="1">
      <c r="C1628" s="63" t="s">
        <v>2947</v>
      </c>
      <c r="G1628" s="549"/>
      <c r="H1628" s="1133" t="s">
        <v>101</v>
      </c>
      <c r="I1628" s="1675"/>
      <c r="J1628" s="1676"/>
      <c r="K1628" s="1133" t="s">
        <v>102</v>
      </c>
      <c r="L1628" s="1675"/>
      <c r="M1628" s="1676"/>
      <c r="N1628" s="26"/>
    </row>
    <row r="1629" spans="2:14" ht="15" customHeight="1" thickBot="1">
      <c r="C1629" s="29" t="s">
        <v>103</v>
      </c>
      <c r="D1629" s="31" t="s">
        <v>104</v>
      </c>
      <c r="E1629" s="42" t="s">
        <v>105</v>
      </c>
      <c r="F1629" s="31" t="s">
        <v>106</v>
      </c>
      <c r="G1629" s="31" t="s">
        <v>107</v>
      </c>
      <c r="H1629" s="43" t="s">
        <v>108</v>
      </c>
      <c r="I1629" s="44" t="s">
        <v>109</v>
      </c>
      <c r="J1629" s="55" t="s">
        <v>110</v>
      </c>
      <c r="K1629" s="43" t="s">
        <v>111</v>
      </c>
      <c r="L1629" s="44" t="s">
        <v>109</v>
      </c>
      <c r="M1629" s="55" t="s">
        <v>110</v>
      </c>
      <c r="N1629" s="37"/>
    </row>
    <row r="1630" spans="2:14" ht="15" customHeight="1" thickBot="1">
      <c r="B1630" s="21" t="s">
        <v>213</v>
      </c>
      <c r="C1630" s="257" t="s">
        <v>2948</v>
      </c>
      <c r="D1630" s="255" t="s">
        <v>2856</v>
      </c>
      <c r="E1630" s="267" t="s">
        <v>2949</v>
      </c>
      <c r="F1630" s="255" t="s">
        <v>109</v>
      </c>
      <c r="G1630" s="226">
        <v>3.9</v>
      </c>
      <c r="H1630" s="324">
        <v>4</v>
      </c>
      <c r="I1630" s="325">
        <v>20.67</v>
      </c>
      <c r="J1630" s="326">
        <v>81.73</v>
      </c>
      <c r="K1630" s="324">
        <v>32</v>
      </c>
      <c r="L1630" s="325">
        <v>661.34</v>
      </c>
      <c r="M1630" s="326">
        <v>2615.3000000000002</v>
      </c>
      <c r="N1630" s="328"/>
    </row>
    <row r="1631" spans="2:14" ht="15" customHeight="1" thickBot="1">
      <c r="C1631" s="256"/>
      <c r="D1631" s="243"/>
      <c r="E1631" s="242"/>
      <c r="F1631" s="243"/>
      <c r="G1631" s="323"/>
      <c r="H1631" s="243"/>
      <c r="I1631" s="328"/>
      <c r="J1631" s="328"/>
      <c r="K1631" s="243"/>
      <c r="L1631" s="328"/>
      <c r="M1631" s="328"/>
      <c r="N1631" s="328"/>
    </row>
    <row r="1632" spans="2:14" ht="32.1" customHeight="1" thickBot="1">
      <c r="C1632" s="63" t="s">
        <v>2950</v>
      </c>
      <c r="G1632" s="549"/>
      <c r="H1632" s="1133" t="s">
        <v>101</v>
      </c>
      <c r="I1632" s="1675"/>
      <c r="J1632" s="1676"/>
      <c r="K1632" s="1133" t="s">
        <v>102</v>
      </c>
      <c r="L1632" s="1675"/>
      <c r="M1632" s="1676"/>
      <c r="N1632" s="26"/>
    </row>
    <row r="1633" spans="2:14" ht="15" customHeight="1" thickBot="1">
      <c r="C1633" s="29" t="s">
        <v>103</v>
      </c>
      <c r="D1633" s="31" t="s">
        <v>104</v>
      </c>
      <c r="E1633" s="42" t="s">
        <v>105</v>
      </c>
      <c r="F1633" s="31" t="s">
        <v>106</v>
      </c>
      <c r="G1633" s="31" t="s">
        <v>107</v>
      </c>
      <c r="H1633" s="43" t="s">
        <v>108</v>
      </c>
      <c r="I1633" s="44" t="s">
        <v>109</v>
      </c>
      <c r="J1633" s="55" t="s">
        <v>110</v>
      </c>
      <c r="K1633" s="43" t="s">
        <v>111</v>
      </c>
      <c r="L1633" s="44" t="s">
        <v>109</v>
      </c>
      <c r="M1633" s="55" t="s">
        <v>110</v>
      </c>
      <c r="N1633" s="37"/>
    </row>
    <row r="1634" spans="2:14" ht="15" thickBot="1">
      <c r="B1634" s="21" t="s">
        <v>112</v>
      </c>
      <c r="C1634" s="929" t="s">
        <v>2951</v>
      </c>
      <c r="D1634" s="1118" t="s">
        <v>119</v>
      </c>
      <c r="E1634" s="615" t="s">
        <v>2952</v>
      </c>
      <c r="F1634" s="1143" t="s">
        <v>109</v>
      </c>
      <c r="G1634" s="1170">
        <v>2.1</v>
      </c>
      <c r="H1634" s="1117">
        <v>2</v>
      </c>
      <c r="I1634" s="1128">
        <v>15.18</v>
      </c>
      <c r="J1634" s="1116">
        <v>78.7</v>
      </c>
      <c r="K1634" s="1117">
        <v>30</v>
      </c>
      <c r="L1634" s="1114">
        <v>455.31</v>
      </c>
      <c r="M1634" s="1116">
        <v>2361.13</v>
      </c>
      <c r="N1634" s="328"/>
    </row>
    <row r="1635" spans="2:14" ht="16.350000000000001" customHeight="1" thickBot="1">
      <c r="B1635" s="51"/>
      <c r="C1635" s="928" t="s">
        <v>2953</v>
      </c>
      <c r="D1635" s="1120"/>
      <c r="E1635" s="252" t="s">
        <v>2954</v>
      </c>
      <c r="F1635" s="1144"/>
      <c r="G1635" s="1700"/>
      <c r="H1635" s="1690"/>
      <c r="I1635" s="1690"/>
      <c r="J1635" s="1694"/>
      <c r="K1635" s="1690"/>
      <c r="L1635" s="1692"/>
      <c r="M1635" s="1694"/>
      <c r="N1635" s="328"/>
    </row>
    <row r="1636" spans="2:14" ht="16.350000000000001" customHeight="1" thickBot="1">
      <c r="B1636" s="51"/>
      <c r="C1636" s="927" t="s">
        <v>2955</v>
      </c>
      <c r="D1636" s="1118" t="s">
        <v>114</v>
      </c>
      <c r="E1636" s="288" t="s">
        <v>2956</v>
      </c>
      <c r="F1636" s="1144"/>
      <c r="G1636" s="1170">
        <v>1.8</v>
      </c>
      <c r="H1636" s="1117">
        <v>9</v>
      </c>
      <c r="I1636" s="1128">
        <v>17.440000000000001</v>
      </c>
      <c r="J1636" s="1116">
        <v>63.9</v>
      </c>
      <c r="K1636" s="1117">
        <v>32</v>
      </c>
      <c r="L1636" s="1114">
        <v>558.08000000000004</v>
      </c>
      <c r="M1636" s="1116">
        <v>2044.8</v>
      </c>
      <c r="N1636" s="328"/>
    </row>
    <row r="1637" spans="2:14" ht="16.350000000000001" customHeight="1" thickBot="1">
      <c r="B1637" s="51"/>
      <c r="C1637" s="928" t="s">
        <v>2957</v>
      </c>
      <c r="D1637" s="1120"/>
      <c r="E1637" s="252" t="s">
        <v>2958</v>
      </c>
      <c r="F1637" s="1169"/>
      <c r="G1637" s="1700"/>
      <c r="H1637" s="1690"/>
      <c r="I1637" s="1690"/>
      <c r="J1637" s="1694"/>
      <c r="K1637" s="1690"/>
      <c r="L1637" s="1692"/>
      <c r="M1637" s="1694"/>
      <c r="N1637" s="328"/>
    </row>
    <row r="1638" spans="2:14" ht="15"/>
  </sheetData>
  <mergeCells count="2388">
    <mergeCell ref="L100:L101"/>
    <mergeCell ref="H471:H477"/>
    <mergeCell ref="H89:H90"/>
    <mergeCell ref="H91:H92"/>
    <mergeCell ref="I111:I113"/>
    <mergeCell ref="H111:H113"/>
    <mergeCell ref="F105:F107"/>
    <mergeCell ref="H74:J74"/>
    <mergeCell ref="I262:I264"/>
    <mergeCell ref="D444:D447"/>
    <mergeCell ref="F133:F134"/>
    <mergeCell ref="M111:M113"/>
    <mergeCell ref="L120:L124"/>
    <mergeCell ref="L192:L197"/>
    <mergeCell ref="J120:J124"/>
    <mergeCell ref="L180:L191"/>
    <mergeCell ref="K91:K92"/>
    <mergeCell ref="L89:L90"/>
    <mergeCell ref="L91:L92"/>
    <mergeCell ref="D342:D383"/>
    <mergeCell ref="F372:F383"/>
    <mergeCell ref="G372:G383"/>
    <mergeCell ref="M91:M92"/>
    <mergeCell ref="H108:H110"/>
    <mergeCell ref="D420:D424"/>
    <mergeCell ref="G85:G86"/>
    <mergeCell ref="J125:J129"/>
    <mergeCell ref="H85:H86"/>
    <mergeCell ref="D85:D86"/>
    <mergeCell ref="D6:D7"/>
    <mergeCell ref="D791:D794"/>
    <mergeCell ref="D795:D798"/>
    <mergeCell ref="F791:F794"/>
    <mergeCell ref="F795:F798"/>
    <mergeCell ref="G791:G794"/>
    <mergeCell ref="G795:G798"/>
    <mergeCell ref="H793:H794"/>
    <mergeCell ref="I793:I794"/>
    <mergeCell ref="J793:J794"/>
    <mergeCell ref="K793:K794"/>
    <mergeCell ref="L793:L794"/>
    <mergeCell ref="M793:M794"/>
    <mergeCell ref="H797:H798"/>
    <mergeCell ref="I797:I798"/>
    <mergeCell ref="J797:J798"/>
    <mergeCell ref="K797:K798"/>
    <mergeCell ref="L797:L798"/>
    <mergeCell ref="F11:F20"/>
    <mergeCell ref="F85:F96"/>
    <mergeCell ref="F387:F400"/>
    <mergeCell ref="K250:K251"/>
    <mergeCell ref="I795:I796"/>
    <mergeCell ref="C81:E81"/>
    <mergeCell ref="H9:J9"/>
    <mergeCell ref="K32:K39"/>
    <mergeCell ref="H81:J81"/>
    <mergeCell ref="H66:H71"/>
    <mergeCell ref="H76:H78"/>
    <mergeCell ref="G66:G71"/>
    <mergeCell ref="L40:L47"/>
    <mergeCell ref="D708:D713"/>
    <mergeCell ref="D1634:D1635"/>
    <mergeCell ref="K1296:K1299"/>
    <mergeCell ref="H490:H496"/>
    <mergeCell ref="M454:M458"/>
    <mergeCell ref="H512:H522"/>
    <mergeCell ref="H423:H424"/>
    <mergeCell ref="G754:G756"/>
    <mergeCell ref="M653:M655"/>
    <mergeCell ref="L1118:L1121"/>
    <mergeCell ref="L552:L553"/>
    <mergeCell ref="D428:D431"/>
    <mergeCell ref="G776:G777"/>
    <mergeCell ref="K1549:M1549"/>
    <mergeCell ref="D1617:D1621"/>
    <mergeCell ref="I848:I857"/>
    <mergeCell ref="H770:J770"/>
    <mergeCell ref="M715:M722"/>
    <mergeCell ref="M1312:M1313"/>
    <mergeCell ref="J1126:J1129"/>
    <mergeCell ref="F1261:F1264"/>
    <mergeCell ref="J571:J575"/>
    <mergeCell ref="L1312:L1313"/>
    <mergeCell ref="L1314:L1315"/>
    <mergeCell ref="F1342:F1346"/>
    <mergeCell ref="F1611:F1613"/>
    <mergeCell ref="J1622:J1626"/>
    <mergeCell ref="K1622:K1626"/>
    <mergeCell ref="D1467:D1481"/>
    <mergeCell ref="H542:J542"/>
    <mergeCell ref="K772:K775"/>
    <mergeCell ref="K1615:M1615"/>
    <mergeCell ref="F1592:F1595"/>
    <mergeCell ref="G1345:G1346"/>
    <mergeCell ref="K93:K94"/>
    <mergeCell ref="F863:F865"/>
    <mergeCell ref="F1202:F1204"/>
    <mergeCell ref="J147:J148"/>
    <mergeCell ref="H1310:H1311"/>
    <mergeCell ref="M60:M65"/>
    <mergeCell ref="M1031:M1036"/>
    <mergeCell ref="M972:M973"/>
    <mergeCell ref="M294:M299"/>
    <mergeCell ref="G863:G865"/>
    <mergeCell ref="I1215:I1224"/>
    <mergeCell ref="M268:M270"/>
    <mergeCell ref="G87:G88"/>
    <mergeCell ref="J1208:J1210"/>
    <mergeCell ref="M723:M734"/>
    <mergeCell ref="K120:K124"/>
    <mergeCell ref="M252:M260"/>
    <mergeCell ref="G1235:G1237"/>
    <mergeCell ref="H151:H152"/>
    <mergeCell ref="H723:H734"/>
    <mergeCell ref="G1284:G1288"/>
    <mergeCell ref="M180:M191"/>
    <mergeCell ref="I66:I71"/>
    <mergeCell ref="F1292:F1293"/>
    <mergeCell ref="I76:I78"/>
    <mergeCell ref="I125:I129"/>
    <mergeCell ref="J207:J210"/>
    <mergeCell ref="G778:G779"/>
    <mergeCell ref="H60:H65"/>
    <mergeCell ref="I239:I240"/>
    <mergeCell ref="M76:M78"/>
    <mergeCell ref="D611:D614"/>
    <mergeCell ref="D100:D101"/>
    <mergeCell ref="D120:D124"/>
    <mergeCell ref="J100:J101"/>
    <mergeCell ref="I151:I152"/>
    <mergeCell ref="G460:G465"/>
    <mergeCell ref="I100:I101"/>
    <mergeCell ref="H149:H150"/>
    <mergeCell ref="D653:D655"/>
    <mergeCell ref="D694:D697"/>
    <mergeCell ref="D688:D693"/>
    <mergeCell ref="H634:J634"/>
    <mergeCell ref="H1046:J1046"/>
    <mergeCell ref="F420:F424"/>
    <mergeCell ref="J791:J792"/>
    <mergeCell ref="I252:I260"/>
    <mergeCell ref="F636:F645"/>
    <mergeCell ref="I192:I197"/>
    <mergeCell ref="G192:G197"/>
    <mergeCell ref="F676:F681"/>
    <mergeCell ref="F848:F857"/>
    <mergeCell ref="F207:F210"/>
    <mergeCell ref="I140:I141"/>
    <mergeCell ref="H482:H485"/>
    <mergeCell ref="G168:G179"/>
    <mergeCell ref="I89:I90"/>
    <mergeCell ref="D268:D270"/>
    <mergeCell ref="H393:H396"/>
    <mergeCell ref="I198:I203"/>
    <mergeCell ref="G120:G124"/>
    <mergeCell ref="C131:E131"/>
    <mergeCell ref="H95:H96"/>
    <mergeCell ref="J149:J150"/>
    <mergeCell ref="F145:F152"/>
    <mergeCell ref="D241:D242"/>
    <mergeCell ref="J135:J136"/>
    <mergeCell ref="M352:M354"/>
    <mergeCell ref="D588:D589"/>
    <mergeCell ref="D598:D603"/>
    <mergeCell ref="G437:G440"/>
    <mergeCell ref="H120:H124"/>
    <mergeCell ref="H180:H191"/>
    <mergeCell ref="K140:K141"/>
    <mergeCell ref="J168:J179"/>
    <mergeCell ref="I471:I477"/>
    <mergeCell ref="K402:M402"/>
    <mergeCell ref="I147:I148"/>
    <mergeCell ref="D192:D197"/>
    <mergeCell ref="K214:K223"/>
    <mergeCell ref="M342:M343"/>
    <mergeCell ref="M192:M197"/>
    <mergeCell ref="M393:M396"/>
    <mergeCell ref="D565:D570"/>
    <mergeCell ref="F544:F545"/>
    <mergeCell ref="I454:I458"/>
    <mergeCell ref="D512:D522"/>
    <mergeCell ref="F502:F511"/>
    <mergeCell ref="G140:G141"/>
    <mergeCell ref="M1162:M1163"/>
    <mergeCell ref="M803:M806"/>
    <mergeCell ref="G723:G734"/>
    <mergeCell ref="D1031:D1036"/>
    <mergeCell ref="J1292:J1293"/>
    <mergeCell ref="D1238:D1242"/>
    <mergeCell ref="G598:G603"/>
    <mergeCell ref="I858:I862"/>
    <mergeCell ref="F1126:F1129"/>
    <mergeCell ref="H454:H458"/>
    <mergeCell ref="H1193:J1193"/>
    <mergeCell ref="G1147:G1149"/>
    <mergeCell ref="K1230:K1234"/>
    <mergeCell ref="D1037:D1042"/>
    <mergeCell ref="I945:I947"/>
    <mergeCell ref="H1010:H1013"/>
    <mergeCell ref="G774:G775"/>
    <mergeCell ref="G1081:G1082"/>
    <mergeCell ref="F1235:F1237"/>
    <mergeCell ref="M502:M511"/>
    <mergeCell ref="D1075:D1080"/>
    <mergeCell ref="G1024:G1027"/>
    <mergeCell ref="D576:D579"/>
    <mergeCell ref="I791:I792"/>
    <mergeCell ref="D953:D955"/>
    <mergeCell ref="H1215:H1224"/>
    <mergeCell ref="F1054:F1059"/>
    <mergeCell ref="J502:J511"/>
    <mergeCell ref="J814:J816"/>
    <mergeCell ref="J945:J947"/>
    <mergeCell ref="E307:E308"/>
    <mergeCell ref="H1576:H1577"/>
    <mergeCell ref="K1484:M1484"/>
    <mergeCell ref="H131:J131"/>
    <mergeCell ref="M1529:M1531"/>
    <mergeCell ref="F1137:F1141"/>
    <mergeCell ref="D1147:D1149"/>
    <mergeCell ref="K803:K806"/>
    <mergeCell ref="D917:D924"/>
    <mergeCell ref="I653:I655"/>
    <mergeCell ref="H1118:H1121"/>
    <mergeCell ref="D1091:D1092"/>
    <mergeCell ref="K974:K977"/>
    <mergeCell ref="H1284:H1288"/>
    <mergeCell ref="M895:M905"/>
    <mergeCell ref="M482:M485"/>
    <mergeCell ref="D1527:D1528"/>
    <mergeCell ref="D1509:D1511"/>
    <mergeCell ref="D437:D440"/>
    <mergeCell ref="G1492:G1493"/>
    <mergeCell ref="F219:F223"/>
    <mergeCell ref="F974:F977"/>
    <mergeCell ref="I1393:I1396"/>
    <mergeCell ref="G1389:G1392"/>
    <mergeCell ref="D1081:D1083"/>
    <mergeCell ref="K672:K675"/>
    <mergeCell ref="L290:L293"/>
    <mergeCell ref="D592:D597"/>
    <mergeCell ref="D682:D687"/>
    <mergeCell ref="I409:I413"/>
    <mergeCell ref="J498:J501"/>
    <mergeCell ref="M554:M555"/>
    <mergeCell ref="H672:H675"/>
    <mergeCell ref="J1634:J1635"/>
    <mergeCell ref="K1029:M1029"/>
    <mergeCell ref="D1269:D1272"/>
    <mergeCell ref="K1265:K1268"/>
    <mergeCell ref="H100:H101"/>
    <mergeCell ref="J420:J422"/>
    <mergeCell ref="I1539:I1540"/>
    <mergeCell ref="K1368:K1373"/>
    <mergeCell ref="H783:H786"/>
    <mergeCell ref="F682:F693"/>
    <mergeCell ref="M1063:M1064"/>
    <mergeCell ref="H966:H968"/>
    <mergeCell ref="J590:J591"/>
    <mergeCell ref="J858:J862"/>
    <mergeCell ref="J428:J431"/>
    <mergeCell ref="I342:I343"/>
    <mergeCell ref="D714:D722"/>
    <mergeCell ref="G1467:G1471"/>
    <mergeCell ref="K272:M272"/>
    <mergeCell ref="J1617:J1621"/>
    <mergeCell ref="H1587:H1588"/>
    <mergeCell ref="D1423:D1443"/>
    <mergeCell ref="I571:I575"/>
    <mergeCell ref="L486:L489"/>
    <mergeCell ref="M1014:M1015"/>
    <mergeCell ref="G945:G947"/>
    <mergeCell ref="J1122:J1125"/>
    <mergeCell ref="D776:D777"/>
    <mergeCell ref="I1284:I1288"/>
    <mergeCell ref="D1276:D1280"/>
    <mergeCell ref="D1007:D1009"/>
    <mergeCell ref="F1265:F1268"/>
    <mergeCell ref="D848:D857"/>
    <mergeCell ref="J881:J894"/>
    <mergeCell ref="M420:M422"/>
    <mergeCell ref="B258:B260"/>
    <mergeCell ref="L76:L78"/>
    <mergeCell ref="G1342:G1344"/>
    <mergeCell ref="L471:L477"/>
    <mergeCell ref="H32:H39"/>
    <mergeCell ref="H1238:H1247"/>
    <mergeCell ref="F750:F751"/>
    <mergeCell ref="I1316:I1317"/>
    <mergeCell ref="F405:F406"/>
    <mergeCell ref="H1269:H1272"/>
    <mergeCell ref="I1397:I1400"/>
    <mergeCell ref="D1368:D1373"/>
    <mergeCell ref="I1043:I1044"/>
    <mergeCell ref="K723:K734"/>
    <mergeCell ref="J803:J806"/>
    <mergeCell ref="F701:F707"/>
    <mergeCell ref="H252:H260"/>
    <mergeCell ref="F565:F570"/>
    <mergeCell ref="H748:J748"/>
    <mergeCell ref="K51:K56"/>
    <mergeCell ref="C98:E98"/>
    <mergeCell ref="I1312:I1313"/>
    <mergeCell ref="H1358:J1358"/>
    <mergeCell ref="J940:J941"/>
    <mergeCell ref="K636:K645"/>
    <mergeCell ref="K935:K936"/>
    <mergeCell ref="G823:G825"/>
    <mergeCell ref="H268:H270"/>
    <mergeCell ref="L783:L786"/>
    <mergeCell ref="K26:M26"/>
    <mergeCell ref="K556:K561"/>
    <mergeCell ref="G32:G39"/>
    <mergeCell ref="F1492:F1497"/>
    <mergeCell ref="M40:M47"/>
    <mergeCell ref="M89:M90"/>
    <mergeCell ref="J1486:J1491"/>
    <mergeCell ref="M471:M477"/>
    <mergeCell ref="G1401:G1402"/>
    <mergeCell ref="K450:K451"/>
    <mergeCell ref="I1360:I1365"/>
    <mergeCell ref="I895:I905"/>
    <mergeCell ref="F437:F440"/>
    <mergeCell ref="K1393:K1396"/>
    <mergeCell ref="G659:G663"/>
    <mergeCell ref="H1397:H1400"/>
    <mergeCell ref="L1048:L1053"/>
    <mergeCell ref="G972:G973"/>
    <mergeCell ref="H659:H664"/>
    <mergeCell ref="H1063:H1064"/>
    <mergeCell ref="M1122:M1125"/>
    <mergeCell ref="L1014:L1015"/>
    <mergeCell ref="L108:L110"/>
    <mergeCell ref="J32:J39"/>
    <mergeCell ref="I910:I916"/>
    <mergeCell ref="F1360:F1365"/>
    <mergeCell ref="M1314:M1315"/>
    <mergeCell ref="M1360:M1365"/>
    <mergeCell ref="L935:L936"/>
    <mergeCell ref="K1410:K1422"/>
    <mergeCell ref="K676:K681"/>
    <mergeCell ref="J556:J561"/>
    <mergeCell ref="D40:D47"/>
    <mergeCell ref="H1024:H1027"/>
    <mergeCell ref="G1261:G1264"/>
    <mergeCell ref="H1151:J1151"/>
    <mergeCell ref="D227:D228"/>
    <mergeCell ref="L598:L603"/>
    <mergeCell ref="L252:L260"/>
    <mergeCell ref="J565:J570"/>
    <mergeCell ref="K1081:K1083"/>
    <mergeCell ref="D151:D152"/>
    <mergeCell ref="M1397:M1400"/>
    <mergeCell ref="J1368:J1373"/>
    <mergeCell ref="I180:I191"/>
    <mergeCell ref="G783:G786"/>
    <mergeCell ref="I486:I489"/>
    <mergeCell ref="F66:F71"/>
    <mergeCell ref="I393:I396"/>
    <mergeCell ref="M368:M371"/>
    <mergeCell ref="I590:I591"/>
    <mergeCell ref="H344:H345"/>
    <mergeCell ref="D1284:D1288"/>
    <mergeCell ref="K829:K833"/>
    <mergeCell ref="D448:D470"/>
    <mergeCell ref="G471:G474"/>
    <mergeCell ref="L1230:L1234"/>
    <mergeCell ref="L198:L203"/>
    <mergeCell ref="H801:J801"/>
    <mergeCell ref="I554:I555"/>
    <mergeCell ref="J1065:J1068"/>
    <mergeCell ref="L1269:L1272"/>
    <mergeCell ref="K437:K440"/>
    <mergeCell ref="I95:I96"/>
    <mergeCell ref="F1534:F1535"/>
    <mergeCell ref="G714:G720"/>
    <mergeCell ref="D531:D540"/>
    <mergeCell ref="L1397:L1400"/>
    <mergeCell ref="I1031:I1036"/>
    <mergeCell ref="I972:I973"/>
    <mergeCell ref="I1054:I1059"/>
    <mergeCell ref="F1248:F1252"/>
    <mergeCell ref="K149:K150"/>
    <mergeCell ref="K180:K191"/>
    <mergeCell ref="H198:H203"/>
    <mergeCell ref="J95:J96"/>
    <mergeCell ref="K89:K90"/>
    <mergeCell ref="J214:J223"/>
    <mergeCell ref="H450:H451"/>
    <mergeCell ref="F311:F338"/>
    <mergeCell ref="K428:K431"/>
    <mergeCell ref="G1385:G1388"/>
    <mergeCell ref="K1100:M1100"/>
    <mergeCell ref="D133:D134"/>
    <mergeCell ref="I368:I371"/>
    <mergeCell ref="H192:H197"/>
    <mergeCell ref="J974:J977"/>
    <mergeCell ref="K103:M103"/>
    <mergeCell ref="L708:L713"/>
    <mergeCell ref="G466:G469"/>
    <mergeCell ref="F1368:F1373"/>
    <mergeCell ref="K1507:M1507"/>
    <mergeCell ref="F1296:F1299"/>
    <mergeCell ref="G1423:G1443"/>
    <mergeCell ref="K821:K825"/>
    <mergeCell ref="G966:G968"/>
    <mergeCell ref="H105:H107"/>
    <mergeCell ref="J18:J19"/>
    <mergeCell ref="K1155:M1155"/>
    <mergeCell ref="K1111:M1111"/>
    <mergeCell ref="K385:M385"/>
    <mergeCell ref="H1539:H1540"/>
    <mergeCell ref="M140:M141"/>
    <mergeCell ref="F1600:F1603"/>
    <mergeCell ref="L482:L485"/>
    <mergeCell ref="H244:J244"/>
    <mergeCell ref="G1248:G1252"/>
    <mergeCell ref="K168:K179"/>
    <mergeCell ref="K76:K78"/>
    <mergeCell ref="L954:L955"/>
    <mergeCell ref="K1573:K1575"/>
    <mergeCell ref="D544:D545"/>
    <mergeCell ref="F1006:F1016"/>
    <mergeCell ref="M1006:M1009"/>
    <mergeCell ref="H1312:H1313"/>
    <mergeCell ref="L986:L1000"/>
    <mergeCell ref="J302:J303"/>
    <mergeCell ref="J93:J94"/>
    <mergeCell ref="J1423:J1443"/>
    <mergeCell ref="L454:L458"/>
    <mergeCell ref="I93:I94"/>
    <mergeCell ref="G268:G270"/>
    <mergeCell ref="J437:J440"/>
    <mergeCell ref="G1276:G1280"/>
    <mergeCell ref="J863:J865"/>
    <mergeCell ref="I803:I806"/>
    <mergeCell ref="H598:H603"/>
    <mergeCell ref="L1130:L1133"/>
    <mergeCell ref="J14:J15"/>
    <mergeCell ref="F1573:F1575"/>
    <mergeCell ref="L972:L973"/>
    <mergeCell ref="M1581:M1582"/>
    <mergeCell ref="D147:D148"/>
    <mergeCell ref="M1393:M1396"/>
    <mergeCell ref="G456:G459"/>
    <mergeCell ref="D149:D150"/>
    <mergeCell ref="J776:J777"/>
    <mergeCell ref="L147:L148"/>
    <mergeCell ref="L556:L561"/>
    <mergeCell ref="J490:J496"/>
    <mergeCell ref="G1265:G1268"/>
    <mergeCell ref="H1155:J1155"/>
    <mergeCell ref="I91:I92"/>
    <mergeCell ref="M1292:M1293"/>
    <mergeCell ref="K827:M827"/>
    <mergeCell ref="I715:I722"/>
    <mergeCell ref="K147:K148"/>
    <mergeCell ref="L168:L179"/>
    <mergeCell ref="L66:L71"/>
    <mergeCell ref="D51:D56"/>
    <mergeCell ref="H26:J26"/>
    <mergeCell ref="I302:I303"/>
    <mergeCell ref="J821:J825"/>
    <mergeCell ref="M754:M756"/>
    <mergeCell ref="F1122:F1125"/>
    <mergeCell ref="M1368:M1373"/>
    <mergeCell ref="M791:M792"/>
    <mergeCell ref="L1377:L1380"/>
    <mergeCell ref="F1423:F1443"/>
    <mergeCell ref="K1046:M1046"/>
    <mergeCell ref="K22:M22"/>
    <mergeCell ref="J444:J447"/>
    <mergeCell ref="H1314:H1315"/>
    <mergeCell ref="H1037:H1042"/>
    <mergeCell ref="D32:D39"/>
    <mergeCell ref="F803:F806"/>
    <mergeCell ref="K1397:K1400"/>
    <mergeCell ref="H1031:H1036"/>
    <mergeCell ref="M250:M251"/>
    <mergeCell ref="M198:M203"/>
    <mergeCell ref="J89:J90"/>
    <mergeCell ref="H972:H973"/>
    <mergeCell ref="M1126:M1129"/>
    <mergeCell ref="L1065:L1068"/>
    <mergeCell ref="L791:L792"/>
    <mergeCell ref="L546:L551"/>
    <mergeCell ref="G1296:G1297"/>
    <mergeCell ref="J91:J92"/>
    <mergeCell ref="K542:M542"/>
    <mergeCell ref="I783:I786"/>
    <mergeCell ref="G682:G693"/>
    <mergeCell ref="J1294:J1295"/>
    <mergeCell ref="K565:K570"/>
    <mergeCell ref="H397:H400"/>
    <mergeCell ref="M556:M561"/>
    <mergeCell ref="K490:K496"/>
    <mergeCell ref="G76:G78"/>
    <mergeCell ref="J966:J968"/>
    <mergeCell ref="L565:L570"/>
    <mergeCell ref="G1058:G1059"/>
    <mergeCell ref="I1006:I1009"/>
    <mergeCell ref="M526:M530"/>
    <mergeCell ref="I14:I15"/>
    <mergeCell ref="I586:I589"/>
    <mergeCell ref="D783:D786"/>
    <mergeCell ref="K846:M846"/>
    <mergeCell ref="G502:G507"/>
    <mergeCell ref="L450:L451"/>
    <mergeCell ref="L1393:L1396"/>
    <mergeCell ref="I1063:I1064"/>
    <mergeCell ref="F590:F591"/>
    <mergeCell ref="H1486:H1491"/>
    <mergeCell ref="H1447:H1454"/>
    <mergeCell ref="F428:F431"/>
    <mergeCell ref="M615:M625"/>
    <mergeCell ref="D590:D591"/>
    <mergeCell ref="D1327:D1328"/>
    <mergeCell ref="K552:K553"/>
    <mergeCell ref="L810:L813"/>
    <mergeCell ref="K943:M943"/>
    <mergeCell ref="J615:J625"/>
    <mergeCell ref="H848:H857"/>
    <mergeCell ref="L772:L775"/>
    <mergeCell ref="G576:G579"/>
    <mergeCell ref="M546:M551"/>
    <mergeCell ref="D1243:D1247"/>
    <mergeCell ref="I935:I936"/>
    <mergeCell ref="D93:D94"/>
    <mergeCell ref="D471:D477"/>
    <mergeCell ref="D387:D400"/>
    <mergeCell ref="G556:G561"/>
    <mergeCell ref="D1318:D1319"/>
    <mergeCell ref="H93:H94"/>
    <mergeCell ref="M389:M392"/>
    <mergeCell ref="M1541:M1543"/>
    <mergeCell ref="I1389:I1392"/>
    <mergeCell ref="K1118:K1121"/>
    <mergeCell ref="M863:M865"/>
    <mergeCell ref="I437:I440"/>
    <mergeCell ref="M986:M1000"/>
    <mergeCell ref="H858:H862"/>
    <mergeCell ref="G974:G977"/>
    <mergeCell ref="L945:L947"/>
    <mergeCell ref="G590:G591"/>
    <mergeCell ref="K1010:K1013"/>
    <mergeCell ref="G1488:G1491"/>
    <mergeCell ref="I482:I485"/>
    <mergeCell ref="H486:H489"/>
    <mergeCell ref="H1360:H1365"/>
    <mergeCell ref="L437:L440"/>
    <mergeCell ref="J1184:J1185"/>
    <mergeCell ref="G1501:G1504"/>
    <mergeCell ref="K1145:M1145"/>
    <mergeCell ref="H1186:H1187"/>
    <mergeCell ref="G1118:G1121"/>
    <mergeCell ref="M665:M670"/>
    <mergeCell ref="K945:K947"/>
    <mergeCell ref="J910:J916"/>
    <mergeCell ref="K657:M657"/>
    <mergeCell ref="L694:L697"/>
    <mergeCell ref="M486:M489"/>
    <mergeCell ref="M797:M798"/>
    <mergeCell ref="H1061:J1061"/>
    <mergeCell ref="J531:J539"/>
    <mergeCell ref="H1096:J1096"/>
    <mergeCell ref="H1208:H1210"/>
    <mergeCell ref="K1632:M1632"/>
    <mergeCell ref="J140:J141"/>
    <mergeCell ref="G108:G110"/>
    <mergeCell ref="K1206:M1206"/>
    <mergeCell ref="H1166:J1166"/>
    <mergeCell ref="L1571:L1572"/>
    <mergeCell ref="D1118:D1121"/>
    <mergeCell ref="J754:J756"/>
    <mergeCell ref="M659:M664"/>
    <mergeCell ref="D1592:D1595"/>
    <mergeCell ref="M1294:M1295"/>
    <mergeCell ref="M1048:M1053"/>
    <mergeCell ref="H1579:J1579"/>
    <mergeCell ref="M214:M223"/>
    <mergeCell ref="F1527:F1528"/>
    <mergeCell ref="G1573:G1575"/>
    <mergeCell ref="M858:M862"/>
    <mergeCell ref="L214:L223"/>
    <mergeCell ref="G895:G905"/>
    <mergeCell ref="M565:M570"/>
    <mergeCell ref="H1571:H1572"/>
    <mergeCell ref="M1516:M1517"/>
    <mergeCell ref="I1581:I1582"/>
    <mergeCell ref="H368:H371"/>
    <mergeCell ref="L676:L681"/>
    <mergeCell ref="J1541:J1543"/>
    <mergeCell ref="L448:L449"/>
    <mergeCell ref="L834:L839"/>
    <mergeCell ref="L821:L825"/>
    <mergeCell ref="K1541:K1543"/>
    <mergeCell ref="M1300:M1302"/>
    <mergeCell ref="K791:K792"/>
    <mergeCell ref="L1596:L1599"/>
    <mergeCell ref="F1617:F1621"/>
    <mergeCell ref="H1484:J1484"/>
    <mergeCell ref="K1571:K1572"/>
    <mergeCell ref="G1617:G1621"/>
    <mergeCell ref="D1186:D1187"/>
    <mergeCell ref="M1281:M1283"/>
    <mergeCell ref="F1253:F1257"/>
    <mergeCell ref="D1555:D1558"/>
    <mergeCell ref="L1360:L1365"/>
    <mergeCell ref="L1576:L1577"/>
    <mergeCell ref="K1523:M1523"/>
    <mergeCell ref="I1571:I1572"/>
    <mergeCell ref="I1611:I1613"/>
    <mergeCell ref="D1539:D1540"/>
    <mergeCell ref="M1514:M1515"/>
    <mergeCell ref="H1622:H1626"/>
    <mergeCell ref="H1611:H1613"/>
    <mergeCell ref="D1208:D1210"/>
    <mergeCell ref="F1571:F1572"/>
    <mergeCell ref="H1590:J1590"/>
    <mergeCell ref="M1265:M1268"/>
    <mergeCell ref="L1366:L1367"/>
    <mergeCell ref="L1611:L1613"/>
    <mergeCell ref="K1423:K1443"/>
    <mergeCell ref="M1611:M1613"/>
    <mergeCell ref="D1397:D1400"/>
    <mergeCell ref="L1573:L1575"/>
    <mergeCell ref="H1605:J1605"/>
    <mergeCell ref="J1215:J1224"/>
    <mergeCell ref="L1622:L1626"/>
    <mergeCell ref="K1189:M1189"/>
    <mergeCell ref="H1537:J1537"/>
    <mergeCell ref="M1622:M1626"/>
    <mergeCell ref="K212:M212"/>
    <mergeCell ref="F647:F652"/>
    <mergeCell ref="L1043:L1044"/>
    <mergeCell ref="J1162:J1163"/>
    <mergeCell ref="K205:M205"/>
    <mergeCell ref="J1389:J1392"/>
    <mergeCell ref="G1360:G1365"/>
    <mergeCell ref="I1184:I1185"/>
    <mergeCell ref="L1529:L1531"/>
    <mergeCell ref="L1516:L1517"/>
    <mergeCell ref="I420:I422"/>
    <mergeCell ref="J460:J470"/>
    <mergeCell ref="K781:M781"/>
    <mergeCell ref="L881:L894"/>
    <mergeCell ref="L659:L664"/>
    <mergeCell ref="K393:K396"/>
    <mergeCell ref="J229:J230"/>
    <mergeCell ref="G858:G860"/>
    <mergeCell ref="G1393:G1396"/>
    <mergeCell ref="H1259:J1259"/>
    <mergeCell ref="F1366:F1367"/>
    <mergeCell ref="K954:K955"/>
    <mergeCell ref="F1622:F1626"/>
    <mergeCell ref="G1622:G1626"/>
    <mergeCell ref="K1565:M1565"/>
    <mergeCell ref="K1617:K1621"/>
    <mergeCell ref="J1573:J1575"/>
    <mergeCell ref="H1549:J1549"/>
    <mergeCell ref="G1611:G1613"/>
    <mergeCell ref="G1576:G1577"/>
    <mergeCell ref="F168:F179"/>
    <mergeCell ref="K659:K664"/>
    <mergeCell ref="I1020:I1023"/>
    <mergeCell ref="H385:J385"/>
    <mergeCell ref="H576:H579"/>
    <mergeCell ref="M239:M240"/>
    <mergeCell ref="F723:F734"/>
    <mergeCell ref="L1184:L1185"/>
    <mergeCell ref="K576:K579"/>
    <mergeCell ref="L111:L113"/>
    <mergeCell ref="F552:F553"/>
    <mergeCell ref="M120:M124"/>
    <mergeCell ref="H145:H146"/>
    <mergeCell ref="J783:J786"/>
    <mergeCell ref="H1135:J1135"/>
    <mergeCell ref="L554:L555"/>
    <mergeCell ref="L858:L862"/>
    <mergeCell ref="H1065:H1068"/>
    <mergeCell ref="H986:H1000"/>
    <mergeCell ref="H791:H792"/>
    <mergeCell ref="F714:F722"/>
    <mergeCell ref="J772:J775"/>
    <mergeCell ref="L1063:L1064"/>
    <mergeCell ref="K546:K551"/>
    <mergeCell ref="G626:G631"/>
    <mergeCell ref="G1065:G1068"/>
    <mergeCell ref="M829:M833"/>
    <mergeCell ref="H546:H551"/>
    <mergeCell ref="M814:M816"/>
    <mergeCell ref="F368:F371"/>
    <mergeCell ref="L636:L645"/>
    <mergeCell ref="K972:K973"/>
    <mergeCell ref="D89:D90"/>
    <mergeCell ref="H239:H240"/>
    <mergeCell ref="K100:K101"/>
    <mergeCell ref="M85:M86"/>
    <mergeCell ref="I1514:I1515"/>
    <mergeCell ref="K563:M563"/>
    <mergeCell ref="G495:G496"/>
    <mergeCell ref="L229:L230"/>
    <mergeCell ref="H1225:H1229"/>
    <mergeCell ref="F986:F1000"/>
    <mergeCell ref="F858:F862"/>
    <mergeCell ref="K647:K652"/>
    <mergeCell ref="M772:M775"/>
    <mergeCell ref="G1397:G1400"/>
    <mergeCell ref="H1408:J1408"/>
    <mergeCell ref="D1401:D1402"/>
    <mergeCell ref="D1137:D1138"/>
    <mergeCell ref="I647:I652"/>
    <mergeCell ref="F1486:F1491"/>
    <mergeCell ref="F1276:F1280"/>
    <mergeCell ref="D607:D610"/>
    <mergeCell ref="D1126:D1129"/>
    <mergeCell ref="F1230:F1234"/>
    <mergeCell ref="G342:G343"/>
    <mergeCell ref="D986:D1000"/>
    <mergeCell ref="F1310:F1317"/>
    <mergeCell ref="K1334:K1335"/>
    <mergeCell ref="H1006:H1009"/>
    <mergeCell ref="K268:K270"/>
    <mergeCell ref="M168:M179"/>
    <mergeCell ref="H147:H148"/>
    <mergeCell ref="L105:L107"/>
    <mergeCell ref="G544:G545"/>
    <mergeCell ref="K1126:K1129"/>
    <mergeCell ref="L653:L655"/>
    <mergeCell ref="L576:L579"/>
    <mergeCell ref="H653:H655"/>
    <mergeCell ref="G552:G553"/>
    <mergeCell ref="J471:J477"/>
    <mergeCell ref="K848:K857"/>
    <mergeCell ref="K770:M770"/>
    <mergeCell ref="I1122:I1125"/>
    <mergeCell ref="M1113:M1114"/>
    <mergeCell ref="L241:L242"/>
    <mergeCell ref="G1073:G1074"/>
    <mergeCell ref="L1010:L1013"/>
    <mergeCell ref="J1014:J1015"/>
    <mergeCell ref="M1020:M1023"/>
    <mergeCell ref="J986:J1000"/>
    <mergeCell ref="G738:G741"/>
    <mergeCell ref="I592:I597"/>
    <mergeCell ref="K452:K453"/>
    <mergeCell ref="K750:K751"/>
    <mergeCell ref="K752:K753"/>
    <mergeCell ref="J636:J645"/>
    <mergeCell ref="J268:J270"/>
    <mergeCell ref="G346:G347"/>
    <mergeCell ref="J368:J371"/>
    <mergeCell ref="M1043:M1044"/>
    <mergeCell ref="H428:H431"/>
    <mergeCell ref="H795:H796"/>
    <mergeCell ref="M241:M242"/>
    <mergeCell ref="I1600:I1603"/>
    <mergeCell ref="K244:M244"/>
    <mergeCell ref="D219:D223"/>
    <mergeCell ref="I1173:I1176"/>
    <mergeCell ref="D1360:D1365"/>
    <mergeCell ref="F1184:F1185"/>
    <mergeCell ref="F140:F141"/>
    <mergeCell ref="F281:F310"/>
    <mergeCell ref="I1385:I1388"/>
    <mergeCell ref="F754:F756"/>
    <mergeCell ref="D105:D107"/>
    <mergeCell ref="J840:J844"/>
    <mergeCell ref="K1312:K1313"/>
    <mergeCell ref="M302:M303"/>
    <mergeCell ref="J1334:J1335"/>
    <mergeCell ref="H871:J871"/>
    <mergeCell ref="M444:M447"/>
    <mergeCell ref="K1314:K1315"/>
    <mergeCell ref="K294:K299"/>
    <mergeCell ref="M145:M146"/>
    <mergeCell ref="M448:M449"/>
    <mergeCell ref="K1063:K1064"/>
    <mergeCell ref="J1516:J1517"/>
    <mergeCell ref="L803:L806"/>
    <mergeCell ref="D1139:D1140"/>
    <mergeCell ref="K252:K260"/>
    <mergeCell ref="D108:D110"/>
    <mergeCell ref="G482:G485"/>
    <mergeCell ref="M1184:M1185"/>
    <mergeCell ref="J1581:J1582"/>
    <mergeCell ref="J1310:J1311"/>
    <mergeCell ref="H810:H813"/>
    <mergeCell ref="F1581:F1582"/>
    <mergeCell ref="D4:D5"/>
    <mergeCell ref="D1447:D1454"/>
    <mergeCell ref="I241:I242"/>
    <mergeCell ref="G520:G522"/>
    <mergeCell ref="L93:L94"/>
    <mergeCell ref="H657:J657"/>
    <mergeCell ref="L444:L447"/>
    <mergeCell ref="J1314:J1315"/>
    <mergeCell ref="K1096:M1096"/>
    <mergeCell ref="D834:D839"/>
    <mergeCell ref="K460:K470"/>
    <mergeCell ref="M881:M894"/>
    <mergeCell ref="H1305:J1305"/>
    <mergeCell ref="F1410:F1422"/>
    <mergeCell ref="J252:J260"/>
    <mergeCell ref="H565:H570"/>
    <mergeCell ref="I526:I530"/>
    <mergeCell ref="F531:F540"/>
    <mergeCell ref="K1031:K1036"/>
    <mergeCell ref="L281:L284"/>
    <mergeCell ref="J180:J191"/>
    <mergeCell ref="H1111:J1111"/>
    <mergeCell ref="D1347:D1355"/>
    <mergeCell ref="L1031:L1036"/>
    <mergeCell ref="M281:M284"/>
    <mergeCell ref="J1195:J1198"/>
    <mergeCell ref="K949:M949"/>
    <mergeCell ref="D95:D96"/>
    <mergeCell ref="F966:F968"/>
    <mergeCell ref="L393:L396"/>
    <mergeCell ref="K108:K110"/>
    <mergeCell ref="F76:F78"/>
    <mergeCell ref="M1486:M1491"/>
    <mergeCell ref="I1294:I1295"/>
    <mergeCell ref="I1048:I1053"/>
    <mergeCell ref="H1628:J1628"/>
    <mergeCell ref="L14:L15"/>
    <mergeCell ref="K1385:K1388"/>
    <mergeCell ref="D91:D92"/>
    <mergeCell ref="L586:L589"/>
    <mergeCell ref="L1001:L1002"/>
    <mergeCell ref="K229:K230"/>
    <mergeCell ref="I565:I570"/>
    <mergeCell ref="H214:H223"/>
    <mergeCell ref="H1048:H1053"/>
    <mergeCell ref="I428:I431"/>
    <mergeCell ref="F556:F561"/>
    <mergeCell ref="J647:J652"/>
    <mergeCell ref="J1410:J1422"/>
    <mergeCell ref="K1360:K1365"/>
    <mergeCell ref="I1541:I1543"/>
    <mergeCell ref="K1166:M1166"/>
    <mergeCell ref="I1587:I1588"/>
    <mergeCell ref="J393:J396"/>
    <mergeCell ref="K105:K107"/>
    <mergeCell ref="H1018:J1018"/>
    <mergeCell ref="D11:D19"/>
    <mergeCell ref="D1065:D1068"/>
    <mergeCell ref="D972:D973"/>
    <mergeCell ref="H827:J827"/>
    <mergeCell ref="H556:H561"/>
    <mergeCell ref="D180:D191"/>
    <mergeCell ref="I1366:I1367"/>
    <mergeCell ref="D1611:D1613"/>
    <mergeCell ref="J11:J12"/>
    <mergeCell ref="H14:H15"/>
    <mergeCell ref="I11:I12"/>
    <mergeCell ref="F111:F113"/>
    <mergeCell ref="F32:F39"/>
    <mergeCell ref="H103:J103"/>
    <mergeCell ref="K66:K71"/>
    <mergeCell ref="K286:K288"/>
    <mergeCell ref="K615:K625"/>
    <mergeCell ref="F100:F101"/>
    <mergeCell ref="F108:F110"/>
    <mergeCell ref="J133:J134"/>
    <mergeCell ref="J198:J203"/>
    <mergeCell ref="G89:G90"/>
    <mergeCell ref="J676:J681"/>
    <mergeCell ref="H212:J212"/>
    <mergeCell ref="H636:H645"/>
    <mergeCell ref="F414:F416"/>
    <mergeCell ref="K58:M58"/>
    <mergeCell ref="L60:L65"/>
    <mergeCell ref="G28:G31"/>
    <mergeCell ref="I40:I47"/>
    <mergeCell ref="L28:L31"/>
    <mergeCell ref="M571:M575"/>
    <mergeCell ref="H28:H31"/>
    <mergeCell ref="M28:M31"/>
    <mergeCell ref="K60:K65"/>
    <mergeCell ref="K279:M279"/>
    <mergeCell ref="K14:K15"/>
    <mergeCell ref="J28:J31"/>
    <mergeCell ref="H40:H47"/>
    <mergeCell ref="F40:F47"/>
    <mergeCell ref="L829:L833"/>
    <mergeCell ref="G492:G494"/>
    <mergeCell ref="F51:F56"/>
    <mergeCell ref="M586:M589"/>
    <mergeCell ref="H241:H242"/>
    <mergeCell ref="J66:J71"/>
    <mergeCell ref="H51:H56"/>
    <mergeCell ref="G11:G16"/>
    <mergeCell ref="J552:J553"/>
    <mergeCell ref="I615:I625"/>
    <mergeCell ref="G91:G92"/>
    <mergeCell ref="J294:J299"/>
    <mergeCell ref="G198:G203"/>
    <mergeCell ref="M14:M15"/>
    <mergeCell ref="D821:D825"/>
    <mergeCell ref="M32:M39"/>
    <mergeCell ref="D66:D71"/>
    <mergeCell ref="L11:L12"/>
    <mergeCell ref="D76:D78"/>
    <mergeCell ref="M95:M96"/>
    <mergeCell ref="D207:D210"/>
    <mergeCell ref="D125:D129"/>
    <mergeCell ref="G17:G19"/>
    <mergeCell ref="K580:K585"/>
    <mergeCell ref="H290:H293"/>
    <mergeCell ref="M207:M210"/>
    <mergeCell ref="D647:D652"/>
    <mergeCell ref="J60:J65"/>
    <mergeCell ref="F448:F470"/>
    <mergeCell ref="K665:K670"/>
    <mergeCell ref="K598:K603"/>
    <mergeCell ref="D1130:D1133"/>
    <mergeCell ref="D626:D632"/>
    <mergeCell ref="I214:I223"/>
    <mergeCell ref="D156:D167"/>
    <mergeCell ref="F114:F116"/>
    <mergeCell ref="H715:H722"/>
    <mergeCell ref="D239:D240"/>
    <mergeCell ref="L544:L545"/>
    <mergeCell ref="J108:J110"/>
    <mergeCell ref="K346:K347"/>
    <mergeCell ref="L452:L453"/>
    <mergeCell ref="L750:L751"/>
    <mergeCell ref="K778:K779"/>
    <mergeCell ref="K137:K138"/>
    <mergeCell ref="L1020:L1023"/>
    <mergeCell ref="I821:I825"/>
    <mergeCell ref="G986:G1000"/>
    <mergeCell ref="L647:L652"/>
    <mergeCell ref="K133:K134"/>
    <mergeCell ref="I723:I734"/>
    <mergeCell ref="H881:H894"/>
    <mergeCell ref="F120:F124"/>
    <mergeCell ref="D829:D833"/>
    <mergeCell ref="L752:L753"/>
    <mergeCell ref="J954:J955"/>
    <mergeCell ref="D114:D116"/>
    <mergeCell ref="D214:D218"/>
    <mergeCell ref="K114:K116"/>
    <mergeCell ref="G125:G129"/>
    <mergeCell ref="D1063:D1064"/>
    <mergeCell ref="D1014:D1015"/>
    <mergeCell ref="F953:F955"/>
    <mergeCell ref="D1310:D1317"/>
    <mergeCell ref="H444:H447"/>
    <mergeCell ref="L397:L400"/>
    <mergeCell ref="H342:H343"/>
    <mergeCell ref="K524:M524"/>
    <mergeCell ref="L346:L347"/>
    <mergeCell ref="M954:M955"/>
    <mergeCell ref="G586:G589"/>
    <mergeCell ref="L262:L264"/>
    <mergeCell ref="H143:J143"/>
    <mergeCell ref="H448:H449"/>
    <mergeCell ref="J580:J585"/>
    <mergeCell ref="F1162:F1164"/>
    <mergeCell ref="H1184:H1185"/>
    <mergeCell ref="J848:J857"/>
    <mergeCell ref="L420:L422"/>
    <mergeCell ref="K986:K1000"/>
    <mergeCell ref="I1162:I1163"/>
    <mergeCell ref="M580:M585"/>
    <mergeCell ref="F482:F485"/>
    <mergeCell ref="I168:I179"/>
    <mergeCell ref="J1010:J1013"/>
    <mergeCell ref="H895:H905"/>
    <mergeCell ref="M262:M264"/>
    <mergeCell ref="M1054:M1059"/>
    <mergeCell ref="H781:J781"/>
    <mergeCell ref="L286:L288"/>
    <mergeCell ref="H1276:H1280"/>
    <mergeCell ref="D1184:D1185"/>
    <mergeCell ref="D281:D338"/>
    <mergeCell ref="D252:D260"/>
    <mergeCell ref="F554:F555"/>
    <mergeCell ref="G1636:G1637"/>
    <mergeCell ref="H1265:H1268"/>
    <mergeCell ref="G180:G191"/>
    <mergeCell ref="K1061:M1061"/>
    <mergeCell ref="G840:G844"/>
    <mergeCell ref="J1063:J1064"/>
    <mergeCell ref="M125:M129"/>
    <mergeCell ref="L1225:L1229"/>
    <mergeCell ref="K1590:M1590"/>
    <mergeCell ref="K1499:K1504"/>
    <mergeCell ref="I1177:I1180"/>
    <mergeCell ref="J1397:J1400"/>
    <mergeCell ref="G1031:G1036"/>
    <mergeCell ref="H281:H284"/>
    <mergeCell ref="K1065:K1068"/>
    <mergeCell ref="J554:J555"/>
    <mergeCell ref="I1516:I1517"/>
    <mergeCell ref="J1462:J1466"/>
    <mergeCell ref="J682:J693"/>
    <mergeCell ref="M1410:M1422"/>
    <mergeCell ref="G250:G260"/>
    <mergeCell ref="M676:M681"/>
    <mergeCell ref="J1054:J1059"/>
    <mergeCell ref="H140:H141"/>
    <mergeCell ref="H1545:J1545"/>
    <mergeCell ref="H846:J846"/>
    <mergeCell ref="I450:I451"/>
    <mergeCell ref="M787:M790"/>
    <mergeCell ref="L239:L240"/>
    <mergeCell ref="H969:H970"/>
    <mergeCell ref="L1403:L1406"/>
    <mergeCell ref="L1310:L1311"/>
    <mergeCell ref="H118:J118"/>
    <mergeCell ref="M1195:M1198"/>
    <mergeCell ref="M969:M970"/>
    <mergeCell ref="K198:K203"/>
    <mergeCell ref="I145:I146"/>
    <mergeCell ref="I576:I579"/>
    <mergeCell ref="G1333:G1337"/>
    <mergeCell ref="H1377:H1380"/>
    <mergeCell ref="H949:J949"/>
    <mergeCell ref="I32:I39"/>
    <mergeCell ref="K74:M74"/>
    <mergeCell ref="I348:I351"/>
    <mergeCell ref="I60:I65"/>
    <mergeCell ref="L1261:L1264"/>
    <mergeCell ref="G207:G210"/>
    <mergeCell ref="I829:I833"/>
    <mergeCell ref="I414:I416"/>
    <mergeCell ref="J810:J813"/>
    <mergeCell ref="L526:L530"/>
    <mergeCell ref="J546:J551"/>
    <mergeCell ref="H205:J205"/>
    <mergeCell ref="J454:J458"/>
    <mergeCell ref="K471:K477"/>
    <mergeCell ref="H586:H589"/>
    <mergeCell ref="K879:M879"/>
    <mergeCell ref="L1307:L1308"/>
    <mergeCell ref="M1366:M1367"/>
    <mergeCell ref="J241:J242"/>
    <mergeCell ref="K409:K413"/>
    <mergeCell ref="L268:L270"/>
    <mergeCell ref="G429:G431"/>
    <mergeCell ref="L342:L343"/>
    <mergeCell ref="D1410:D1422"/>
    <mergeCell ref="F229:F230"/>
    <mergeCell ref="K964:M964"/>
    <mergeCell ref="D1294:D1295"/>
    <mergeCell ref="D1048:D1053"/>
    <mergeCell ref="M552:M553"/>
    <mergeCell ref="H1145:J1145"/>
    <mergeCell ref="L615:L625"/>
    <mergeCell ref="I281:I284"/>
    <mergeCell ref="J76:J78"/>
    <mergeCell ref="J137:J138"/>
    <mergeCell ref="F951:F952"/>
    <mergeCell ref="F1063:F1064"/>
    <mergeCell ref="H2:J2"/>
    <mergeCell ref="H829:H833"/>
    <mergeCell ref="J576:J579"/>
    <mergeCell ref="J239:J240"/>
    <mergeCell ref="K342:K343"/>
    <mergeCell ref="K699:M699"/>
    <mergeCell ref="J348:J351"/>
    <mergeCell ref="H389:H392"/>
    <mergeCell ref="L1081:L1083"/>
    <mergeCell ref="K571:K575"/>
    <mergeCell ref="I1195:I1198"/>
    <mergeCell ref="F829:F833"/>
    <mergeCell ref="G1230:G1234"/>
    <mergeCell ref="I552:I553"/>
    <mergeCell ref="K1208:K1210"/>
    <mergeCell ref="H1043:H1044"/>
    <mergeCell ref="K444:K447"/>
    <mergeCell ref="L626:L632"/>
    <mergeCell ref="H964:J964"/>
    <mergeCell ref="G111:G113"/>
    <mergeCell ref="G1052:G1053"/>
    <mergeCell ref="D615:D625"/>
    <mergeCell ref="L294:L299"/>
    <mergeCell ref="L910:L916"/>
    <mergeCell ref="I1377:I1380"/>
    <mergeCell ref="D198:D203"/>
    <mergeCell ref="D1331:D1332"/>
    <mergeCell ref="F486:F501"/>
    <mergeCell ref="I448:I449"/>
    <mergeCell ref="L1292:L1293"/>
    <mergeCell ref="D1366:D1367"/>
    <mergeCell ref="I925:I931"/>
    <mergeCell ref="L1294:L1295"/>
    <mergeCell ref="F1195:F1198"/>
    <mergeCell ref="K135:K136"/>
    <mergeCell ref="H766:J766"/>
    <mergeCell ref="D1173:D1176"/>
    <mergeCell ref="L125:L129"/>
    <mergeCell ref="K871:M871"/>
    <mergeCell ref="L960:L961"/>
    <mergeCell ref="F180:F191"/>
    <mergeCell ref="D1377:D1380"/>
    <mergeCell ref="D945:D947"/>
    <mergeCell ref="F665:F671"/>
    <mergeCell ref="H1100:J1100"/>
    <mergeCell ref="M428:M431"/>
    <mergeCell ref="H1162:H1163"/>
    <mergeCell ref="H1300:H1302"/>
    <mergeCell ref="G1079:G1080"/>
    <mergeCell ref="I207:I210"/>
    <mergeCell ref="H1160:J1160"/>
    <mergeCell ref="D1600:D1603"/>
    <mergeCell ref="K1537:M1537"/>
    <mergeCell ref="K397:K400"/>
    <mergeCell ref="M1385:M1388"/>
    <mergeCell ref="M840:M844"/>
    <mergeCell ref="H1516:H1517"/>
    <mergeCell ref="K1529:K1531"/>
    <mergeCell ref="C1482:M1482"/>
    <mergeCell ref="H1565:J1565"/>
    <mergeCell ref="F1389:F1406"/>
    <mergeCell ref="H814:H816"/>
    <mergeCell ref="I1486:I1491"/>
    <mergeCell ref="L1389:L1392"/>
    <mergeCell ref="F1518:F1521"/>
    <mergeCell ref="K1184:K1185"/>
    <mergeCell ref="K1020:K1023"/>
    <mergeCell ref="M636:M645"/>
    <mergeCell ref="D1230:D1234"/>
    <mergeCell ref="H984:J984"/>
    <mergeCell ref="D1177:D1180"/>
    <mergeCell ref="D1486:D1491"/>
    <mergeCell ref="G1486:G1487"/>
    <mergeCell ref="M910:M916"/>
    <mergeCell ref="M1010:M1013"/>
    <mergeCell ref="H699:J699"/>
    <mergeCell ref="L1113:L1114"/>
    <mergeCell ref="G1041:G1042"/>
    <mergeCell ref="L1006:L1009"/>
    <mergeCell ref="I636:I645"/>
    <mergeCell ref="D1587:D1588"/>
    <mergeCell ref="M1592:M1595"/>
    <mergeCell ref="K1600:K1603"/>
    <mergeCell ref="G1592:G1595"/>
    <mergeCell ref="M1539:M1540"/>
    <mergeCell ref="K241:K242"/>
    <mergeCell ref="G135:G136"/>
    <mergeCell ref="J659:J664"/>
    <mergeCell ref="M460:M470"/>
    <mergeCell ref="J969:J970"/>
    <mergeCell ref="I1307:I1308"/>
    <mergeCell ref="H1514:H1515"/>
    <mergeCell ref="G137:G138"/>
    <mergeCell ref="E283:E284"/>
    <mergeCell ref="I672:I675"/>
    <mergeCell ref="H1569:J1569"/>
    <mergeCell ref="H1020:H1023"/>
    <mergeCell ref="K526:K530"/>
    <mergeCell ref="G531:G536"/>
    <mergeCell ref="I1113:I1114"/>
    <mergeCell ref="H1195:H1198"/>
    <mergeCell ref="G1225:G1229"/>
    <mergeCell ref="J1296:J1299"/>
    <mergeCell ref="F1529:F1531"/>
    <mergeCell ref="L592:L597"/>
    <mergeCell ref="K1514:K1515"/>
    <mergeCell ref="F881:F906"/>
    <mergeCell ref="M229:M230"/>
    <mergeCell ref="J1048:J1053"/>
    <mergeCell ref="J482:J485"/>
    <mergeCell ref="I969:I970"/>
    <mergeCell ref="K917:K924"/>
    <mergeCell ref="K910:K916"/>
    <mergeCell ref="F945:F947"/>
    <mergeCell ref="H1507:J1507"/>
    <mergeCell ref="K1609:M1609"/>
    <mergeCell ref="L665:L670"/>
    <mergeCell ref="F214:F218"/>
    <mergeCell ref="K1467:K1481"/>
    <mergeCell ref="I1010:I1013"/>
    <mergeCell ref="G475:G477"/>
    <mergeCell ref="L1636:L1637"/>
    <mergeCell ref="I294:I299"/>
    <mergeCell ref="I1310:I1311"/>
    <mergeCell ref="K738:K741"/>
    <mergeCell ref="M1261:M1264"/>
    <mergeCell ref="I1230:I1234"/>
    <mergeCell ref="K1366:K1367"/>
    <mergeCell ref="H821:H825"/>
    <mergeCell ref="K420:K422"/>
    <mergeCell ref="K1628:M1628"/>
    <mergeCell ref="L672:L675"/>
    <mergeCell ref="K1569:M1569"/>
    <mergeCell ref="K908:M908"/>
    <mergeCell ref="M1177:M1180"/>
    <mergeCell ref="K1358:M1358"/>
    <mergeCell ref="H524:J524"/>
    <mergeCell ref="L1581:L1582"/>
    <mergeCell ref="F588:F589"/>
    <mergeCell ref="G1581:G1582"/>
    <mergeCell ref="I444:I447"/>
    <mergeCell ref="J290:J293"/>
    <mergeCell ref="K605:M605"/>
    <mergeCell ref="H879:J879"/>
    <mergeCell ref="K736:M736"/>
    <mergeCell ref="H1389:H1392"/>
    <mergeCell ref="G1600:G1603"/>
    <mergeCell ref="J397:J400"/>
    <mergeCell ref="H1385:H1388"/>
    <mergeCell ref="F135:F136"/>
    <mergeCell ref="D168:D179"/>
    <mergeCell ref="I659:I664"/>
    <mergeCell ref="G642:G645"/>
    <mergeCell ref="G750:G751"/>
    <mergeCell ref="F137:F138"/>
    <mergeCell ref="M348:M351"/>
    <mergeCell ref="H225:J225"/>
    <mergeCell ref="G1020:G1023"/>
    <mergeCell ref="J1281:J1283"/>
    <mergeCell ref="G420:G424"/>
    <mergeCell ref="K933:M933"/>
    <mergeCell ref="F239:F240"/>
    <mergeCell ref="F198:F203"/>
    <mergeCell ref="D750:D751"/>
    <mergeCell ref="D526:D530"/>
    <mergeCell ref="J414:J416"/>
    <mergeCell ref="G1173:G1176"/>
    <mergeCell ref="H402:J402"/>
    <mergeCell ref="L428:L431"/>
    <mergeCell ref="L754:L756"/>
    <mergeCell ref="K1238:K1247"/>
    <mergeCell ref="G1347:G1355"/>
    <mergeCell ref="K1006:K1009"/>
    <mergeCell ref="I954:I955"/>
    <mergeCell ref="K708:K713"/>
    <mergeCell ref="F250:F264"/>
    <mergeCell ref="K1182:M1182"/>
    <mergeCell ref="G621:G623"/>
    <mergeCell ref="I1281:I1283"/>
    <mergeCell ref="J672:J675"/>
    <mergeCell ref="F738:F741"/>
    <mergeCell ref="H498:H501"/>
    <mergeCell ref="J423:J424"/>
    <mergeCell ref="I1081:I1083"/>
    <mergeCell ref="M423:M424"/>
    <mergeCell ref="F432:F435"/>
    <mergeCell ref="D935:D937"/>
    <mergeCell ref="K340:M340"/>
    <mergeCell ref="J286:J288"/>
    <mergeCell ref="H266:J266"/>
    <mergeCell ref="M387:M388"/>
    <mergeCell ref="J352:J354"/>
    <mergeCell ref="F342:F354"/>
    <mergeCell ref="K432:K435"/>
    <mergeCell ref="M290:M293"/>
    <mergeCell ref="L1069:L1074"/>
    <mergeCell ref="H279:J279"/>
    <mergeCell ref="D1024:D1027"/>
    <mergeCell ref="G1048:G1051"/>
    <mergeCell ref="K454:K458"/>
    <mergeCell ref="G565:G569"/>
    <mergeCell ref="E291:E292"/>
    <mergeCell ref="F810:F816"/>
    <mergeCell ref="J409:J413"/>
    <mergeCell ref="F615:F625"/>
    <mergeCell ref="I1065:I1068"/>
    <mergeCell ref="I986:I1000"/>
    <mergeCell ref="J389:J392"/>
    <mergeCell ref="H302:H303"/>
    <mergeCell ref="K586:K589"/>
    <mergeCell ref="H615:H625"/>
    <mergeCell ref="M11:M12"/>
    <mergeCell ref="H1383:J1383"/>
    <mergeCell ref="F1562:F1563"/>
    <mergeCell ref="M576:M579"/>
    <mergeCell ref="H340:J340"/>
    <mergeCell ref="J1455:J1461"/>
    <mergeCell ref="H552:H553"/>
    <mergeCell ref="L1281:L1283"/>
    <mergeCell ref="D145:D146"/>
    <mergeCell ref="J111:J113"/>
    <mergeCell ref="I1551:I1554"/>
    <mergeCell ref="I787:I790"/>
    <mergeCell ref="D1529:D1531"/>
    <mergeCell ref="K766:M766"/>
    <mergeCell ref="D1516:D1517"/>
    <mergeCell ref="F1157:F1158"/>
    <mergeCell ref="F580:F585"/>
    <mergeCell ref="G546:G551"/>
    <mergeCell ref="G409:G412"/>
    <mergeCell ref="D140:D141"/>
    <mergeCell ref="I772:I775"/>
    <mergeCell ref="D1518:D1519"/>
    <mergeCell ref="G752:G753"/>
    <mergeCell ref="H544:H545"/>
    <mergeCell ref="H22:J22"/>
    <mergeCell ref="M1075:M1080"/>
    <mergeCell ref="K1004:M1004"/>
    <mergeCell ref="L1300:L1302"/>
    <mergeCell ref="F546:F551"/>
    <mergeCell ref="K28:K31"/>
    <mergeCell ref="M1248:M1257"/>
    <mergeCell ref="J738:J741"/>
    <mergeCell ref="M1596:M1599"/>
    <mergeCell ref="G1130:G1133"/>
    <mergeCell ref="I114:I116"/>
    <mergeCell ref="H960:H961"/>
    <mergeCell ref="H954:H955"/>
    <mergeCell ref="G1292:G1293"/>
    <mergeCell ref="H754:H756"/>
    <mergeCell ref="K1486:K1491"/>
    <mergeCell ref="I750:I751"/>
    <mergeCell ref="G1294:G1295"/>
    <mergeCell ref="K1587:K1588"/>
    <mergeCell ref="H1334:H1335"/>
    <mergeCell ref="M1467:M1481"/>
    <mergeCell ref="I1596:I1599"/>
    <mergeCell ref="K1584:M1584"/>
    <mergeCell ref="J87:J88"/>
    <mergeCell ref="J1401:J1402"/>
    <mergeCell ref="I105:I107"/>
    <mergeCell ref="H1116:J1116"/>
    <mergeCell ref="K274:K277"/>
    <mergeCell ref="K348:K351"/>
    <mergeCell ref="M114:M116"/>
    <mergeCell ref="H480:J480"/>
    <mergeCell ref="I120:I124"/>
    <mergeCell ref="H125:H129"/>
    <mergeCell ref="G1298:G1299"/>
    <mergeCell ref="M105:M107"/>
    <mergeCell ref="J274:J277"/>
    <mergeCell ref="G1215:G1219"/>
    <mergeCell ref="H910:H916"/>
    <mergeCell ref="H676:H681"/>
    <mergeCell ref="K239:K240"/>
    <mergeCell ref="I676:I681"/>
    <mergeCell ref="K1377:K1380"/>
    <mergeCell ref="M133:M134"/>
    <mergeCell ref="H1541:H1543"/>
    <mergeCell ref="J1300:J1302"/>
    <mergeCell ref="L1539:L1540"/>
    <mergeCell ref="L607:L610"/>
    <mergeCell ref="G636:G641"/>
    <mergeCell ref="G1010:G1011"/>
    <mergeCell ref="I290:I293"/>
    <mergeCell ref="H1069:H1074"/>
    <mergeCell ref="I1529:I1531"/>
    <mergeCell ref="D910:D916"/>
    <mergeCell ref="F274:F277"/>
    <mergeCell ref="K1122:K1125"/>
    <mergeCell ref="H1393:H1396"/>
    <mergeCell ref="G917:G924"/>
    <mergeCell ref="K143:M143"/>
    <mergeCell ref="M1462:M1466"/>
    <mergeCell ref="H229:H230"/>
    <mergeCell ref="G647:G652"/>
    <mergeCell ref="M274:M277"/>
    <mergeCell ref="H935:H936"/>
    <mergeCell ref="D1020:D1023"/>
    <mergeCell ref="D432:D435"/>
    <mergeCell ref="D752:D753"/>
    <mergeCell ref="M1316:M1317"/>
    <mergeCell ref="H262:H264"/>
    <mergeCell ref="K266:M266"/>
    <mergeCell ref="D1265:D1268"/>
    <mergeCell ref="D810:D816"/>
    <mergeCell ref="D554:D555"/>
    <mergeCell ref="M1636:M1637"/>
    <mergeCell ref="H1551:H1554"/>
    <mergeCell ref="H787:H790"/>
    <mergeCell ref="M135:M136"/>
    <mergeCell ref="D1389:D1392"/>
    <mergeCell ref="M873:M877"/>
    <mergeCell ref="H1292:H1293"/>
    <mergeCell ref="I701:I706"/>
    <mergeCell ref="F1347:F1356"/>
    <mergeCell ref="M778:M779"/>
    <mergeCell ref="M137:M138"/>
    <mergeCell ref="J105:J107"/>
    <mergeCell ref="H426:J426"/>
    <mergeCell ref="H772:H775"/>
    <mergeCell ref="J708:J713"/>
    <mergeCell ref="F1177:F1180"/>
    <mergeCell ref="H1294:H1295"/>
    <mergeCell ref="H554:H555"/>
    <mergeCell ref="L611:L614"/>
    <mergeCell ref="J1529:J1531"/>
    <mergeCell ref="K1560:M1560"/>
    <mergeCell ref="D665:D671"/>
    <mergeCell ref="K1545:M1545"/>
    <mergeCell ref="D1215:D1219"/>
    <mergeCell ref="K611:K614"/>
    <mergeCell ref="L145:L146"/>
    <mergeCell ref="K1113:K1114"/>
    <mergeCell ref="M592:M597"/>
    <mergeCell ref="F241:F242"/>
    <mergeCell ref="K1054:K1059"/>
    <mergeCell ref="M1634:M1635"/>
    <mergeCell ref="D1581:D1582"/>
    <mergeCell ref="K2:M2"/>
    <mergeCell ref="G1014:G1015"/>
    <mergeCell ref="G848:G852"/>
    <mergeCell ref="L1075:L1080"/>
    <mergeCell ref="I460:I470"/>
    <mergeCell ref="H307:H308"/>
    <mergeCell ref="K881:K894"/>
    <mergeCell ref="L207:L210"/>
    <mergeCell ref="K1300:K1302"/>
    <mergeCell ref="F1215:F1219"/>
    <mergeCell ref="L414:L416"/>
    <mergeCell ref="M1455:M1461"/>
    <mergeCell ref="K1177:K1180"/>
    <mergeCell ref="M286:M288"/>
    <mergeCell ref="G348:G353"/>
    <mergeCell ref="M1065:M1068"/>
    <mergeCell ref="F1377:F1380"/>
    <mergeCell ref="G1195:G1198"/>
    <mergeCell ref="H665:H670"/>
    <mergeCell ref="I1261:I1264"/>
    <mergeCell ref="L925:L931"/>
    <mergeCell ref="H873:H877"/>
    <mergeCell ref="G1075:G1078"/>
    <mergeCell ref="K1089:M1089"/>
    <mergeCell ref="I498:I501"/>
    <mergeCell ref="J586:J589"/>
    <mergeCell ref="H452:H453"/>
    <mergeCell ref="H750:H751"/>
    <mergeCell ref="I229:I230"/>
    <mergeCell ref="F576:F579"/>
    <mergeCell ref="F935:F941"/>
    <mergeCell ref="G1012:G1013"/>
    <mergeCell ref="K1516:K1517"/>
    <mergeCell ref="K448:K449"/>
    <mergeCell ref="H1410:H1422"/>
    <mergeCell ref="G1338:G1341"/>
    <mergeCell ref="L1177:L1180"/>
    <mergeCell ref="F972:F973"/>
    <mergeCell ref="H840:H844"/>
    <mergeCell ref="J1316:J1317"/>
    <mergeCell ref="J1499:J1504"/>
    <mergeCell ref="L723:L734"/>
    <mergeCell ref="K984:M984"/>
    <mergeCell ref="G497:G500"/>
    <mergeCell ref="F910:F916"/>
    <mergeCell ref="I1492:I1497"/>
    <mergeCell ref="D1322:D1323"/>
    <mergeCell ref="H1274:J1274"/>
    <mergeCell ref="H1366:H1367"/>
    <mergeCell ref="I1265:I1268"/>
    <mergeCell ref="H1248:H1257"/>
    <mergeCell ref="D1195:D1198"/>
    <mergeCell ref="D1462:D1466"/>
    <mergeCell ref="D580:D585"/>
    <mergeCell ref="D636:D645"/>
    <mergeCell ref="G1379:G1380"/>
    <mergeCell ref="M708:M713"/>
    <mergeCell ref="J1467:J1481"/>
    <mergeCell ref="G611:G614"/>
    <mergeCell ref="L1462:L1466"/>
    <mergeCell ref="M966:M968"/>
    <mergeCell ref="K1106:M1106"/>
    <mergeCell ref="D486:D501"/>
    <mergeCell ref="L580:L585"/>
    <mergeCell ref="N1048:N1050"/>
    <mergeCell ref="F1048:F1053"/>
    <mergeCell ref="K145:K146"/>
    <mergeCell ref="H526:H530"/>
    <mergeCell ref="E281:E282"/>
    <mergeCell ref="D556:D561"/>
    <mergeCell ref="H647:H652"/>
    <mergeCell ref="K1401:K1402"/>
    <mergeCell ref="K281:K284"/>
    <mergeCell ref="H752:H753"/>
    <mergeCell ref="H432:H435"/>
    <mergeCell ref="D414:D416"/>
    <mergeCell ref="D407:D408"/>
    <mergeCell ref="K1215:K1224"/>
    <mergeCell ref="M1037:M1042"/>
    <mergeCell ref="J250:J251"/>
    <mergeCell ref="D262:D264"/>
    <mergeCell ref="K1375:M1375"/>
    <mergeCell ref="G665:G670"/>
    <mergeCell ref="I1314:I1315"/>
    <mergeCell ref="L1147:L1149"/>
    <mergeCell ref="L776:L777"/>
    <mergeCell ref="K1171:M1171"/>
    <mergeCell ref="J307:J308"/>
    <mergeCell ref="H348:H351"/>
    <mergeCell ref="D840:D844"/>
    <mergeCell ref="K607:K610"/>
    <mergeCell ref="M156:M167"/>
    <mergeCell ref="M531:M539"/>
    <mergeCell ref="H605:J605"/>
    <mergeCell ref="M1307:M1308"/>
    <mergeCell ref="H1177:H1180"/>
    <mergeCell ref="D1300:D1302"/>
    <mergeCell ref="F1318:F1341"/>
    <mergeCell ref="H11:H12"/>
    <mergeCell ref="M810:M813"/>
    <mergeCell ref="M414:M416"/>
    <mergeCell ref="H156:H167"/>
    <mergeCell ref="L151:L152"/>
    <mergeCell ref="L405:L408"/>
    <mergeCell ref="G935:G937"/>
    <mergeCell ref="D676:D681"/>
    <mergeCell ref="J544:J545"/>
    <mergeCell ref="G772:G773"/>
    <mergeCell ref="L149:L150"/>
    <mergeCell ref="J935:J936"/>
    <mergeCell ref="L307:L308"/>
    <mergeCell ref="I626:I632"/>
    <mergeCell ref="D1162:D1163"/>
    <mergeCell ref="K787:K790"/>
    <mergeCell ref="D881:D894"/>
    <mergeCell ref="K743:M743"/>
    <mergeCell ref="L498:L501"/>
    <mergeCell ref="K1014:K1015"/>
    <mergeCell ref="D1010:D1011"/>
    <mergeCell ref="M925:M931"/>
    <mergeCell ref="K1305:M1305"/>
    <mergeCell ref="F821:F825"/>
    <mergeCell ref="G1253:G1257"/>
    <mergeCell ref="D1122:D1125"/>
    <mergeCell ref="H137:H138"/>
    <mergeCell ref="I810:I813"/>
    <mergeCell ref="L156:L167"/>
    <mergeCell ref="F471:F477"/>
    <mergeCell ref="I1636:I1637"/>
    <mergeCell ref="D1225:D1229"/>
    <mergeCell ref="D787:D790"/>
    <mergeCell ref="D1551:D1554"/>
    <mergeCell ref="I665:I670"/>
    <mergeCell ref="I135:I136"/>
    <mergeCell ref="I873:I877"/>
    <mergeCell ref="D482:D485"/>
    <mergeCell ref="D1292:D1293"/>
    <mergeCell ref="I346:I347"/>
    <mergeCell ref="J452:J453"/>
    <mergeCell ref="I274:I277"/>
    <mergeCell ref="J750:J751"/>
    <mergeCell ref="G389:G391"/>
    <mergeCell ref="I778:I779"/>
    <mergeCell ref="D772:D775"/>
    <mergeCell ref="I137:I138"/>
    <mergeCell ref="F355:F367"/>
    <mergeCell ref="J1020:J1023"/>
    <mergeCell ref="H611:H614"/>
    <mergeCell ref="J626:J632"/>
    <mergeCell ref="D552:D553"/>
    <mergeCell ref="H1281:H1283"/>
    <mergeCell ref="F1208:F1210"/>
    <mergeCell ref="F444:F447"/>
    <mergeCell ref="D803:D806"/>
    <mergeCell ref="H207:H210"/>
    <mergeCell ref="G1300:G1302"/>
    <mergeCell ref="G1410:G1422"/>
    <mergeCell ref="J448:J449"/>
    <mergeCell ref="F571:F575"/>
    <mergeCell ref="G1177:G1180"/>
    <mergeCell ref="K405:K408"/>
    <mergeCell ref="G607:G610"/>
    <mergeCell ref="F1551:F1554"/>
    <mergeCell ref="D1393:D1396"/>
    <mergeCell ref="D1571:D1572"/>
    <mergeCell ref="G1377:G1378"/>
    <mergeCell ref="K626:K632"/>
    <mergeCell ref="D1324:D1325"/>
    <mergeCell ref="F1024:F1027"/>
    <mergeCell ref="F708:F713"/>
    <mergeCell ref="H1499:H1504"/>
    <mergeCell ref="G708:G712"/>
    <mergeCell ref="K531:K539"/>
    <mergeCell ref="J450:J451"/>
    <mergeCell ref="F917:F924"/>
    <mergeCell ref="D761:D762"/>
    <mergeCell ref="G518:G519"/>
    <mergeCell ref="H943:J943"/>
    <mergeCell ref="F1243:F1247"/>
    <mergeCell ref="J1069:J1074"/>
    <mergeCell ref="K1135:M1135"/>
    <mergeCell ref="K554:K555"/>
    <mergeCell ref="D1102:D1103"/>
    <mergeCell ref="G821:G822"/>
    <mergeCell ref="G1366:G1367"/>
    <mergeCell ref="L423:L424"/>
    <mergeCell ref="D1541:D1543"/>
    <mergeCell ref="J787:J790"/>
    <mergeCell ref="F1173:F1176"/>
    <mergeCell ref="L1514:L1515"/>
    <mergeCell ref="G881:G894"/>
    <mergeCell ref="G1186:G1187"/>
    <mergeCell ref="D229:D230"/>
    <mergeCell ref="I286:I288"/>
    <mergeCell ref="D1492:D1497"/>
    <mergeCell ref="G580:G585"/>
    <mergeCell ref="D1248:D1257"/>
    <mergeCell ref="H580:H585"/>
    <mergeCell ref="D137:D138"/>
    <mergeCell ref="K1462:K1466"/>
    <mergeCell ref="F1031:F1044"/>
    <mergeCell ref="K344:K345"/>
    <mergeCell ref="I1467:I1481"/>
    <mergeCell ref="F611:F614"/>
    <mergeCell ref="D586:D587"/>
    <mergeCell ref="G1499:G1500"/>
    <mergeCell ref="F1447:F1454"/>
    <mergeCell ref="D858:D862"/>
    <mergeCell ref="F598:F603"/>
    <mergeCell ref="J1147:J1149"/>
    <mergeCell ref="F626:F632"/>
    <mergeCell ref="G787:G790"/>
    <mergeCell ref="G969:G970"/>
    <mergeCell ref="I917:I924"/>
    <mergeCell ref="F1225:F1229"/>
    <mergeCell ref="I1499:I1504"/>
    <mergeCell ref="J829:J833"/>
    <mergeCell ref="H405:H408"/>
    <mergeCell ref="K1492:K1497"/>
    <mergeCell ref="I1447:I1454"/>
    <mergeCell ref="D672:D673"/>
    <mergeCell ref="D274:D277"/>
    <mergeCell ref="I1075:I1080"/>
    <mergeCell ref="C340:E340"/>
    <mergeCell ref="D723:D728"/>
    <mergeCell ref="F1509:F1517"/>
    <mergeCell ref="K783:K786"/>
    <mergeCell ref="I1014:I1015"/>
    <mergeCell ref="D1281:D1283"/>
    <mergeCell ref="D1307:D1308"/>
    <mergeCell ref="D405:D406"/>
    <mergeCell ref="L387:L388"/>
    <mergeCell ref="G404:G408"/>
    <mergeCell ref="J1636:J1637"/>
    <mergeCell ref="J665:J670"/>
    <mergeCell ref="H531:H539"/>
    <mergeCell ref="M1024:M1027"/>
    <mergeCell ref="I940:I941"/>
    <mergeCell ref="I738:I741"/>
    <mergeCell ref="L1037:L1042"/>
    <mergeCell ref="K1276:K1280"/>
    <mergeCell ref="K1269:K1272"/>
    <mergeCell ref="K498:K501"/>
    <mergeCell ref="L460:L470"/>
    <mergeCell ref="H1307:H1308"/>
    <mergeCell ref="J1173:J1176"/>
    <mergeCell ref="F1467:F1481"/>
    <mergeCell ref="F1555:F1558"/>
    <mergeCell ref="K1636:K1637"/>
    <mergeCell ref="K694:K697"/>
    <mergeCell ref="K1383:M1383"/>
    <mergeCell ref="J1377:J1380"/>
    <mergeCell ref="H1089:J1089"/>
    <mergeCell ref="K1281:K1283"/>
    <mergeCell ref="J1600:J1603"/>
    <mergeCell ref="K1130:K1133"/>
    <mergeCell ref="K1555:K1558"/>
    <mergeCell ref="M1403:M1406"/>
    <mergeCell ref="J1075:J1080"/>
    <mergeCell ref="G672:G675"/>
    <mergeCell ref="G537:G539"/>
    <mergeCell ref="H1592:H1595"/>
    <mergeCell ref="I1634:I1635"/>
    <mergeCell ref="G1571:G1572"/>
    <mergeCell ref="F1587:F1588"/>
    <mergeCell ref="I834:I839"/>
    <mergeCell ref="L738:L741"/>
    <mergeCell ref="L787:L790"/>
    <mergeCell ref="L969:L970"/>
    <mergeCell ref="M498:M501"/>
    <mergeCell ref="M1334:M1335"/>
    <mergeCell ref="M821:M825"/>
    <mergeCell ref="H708:H713"/>
    <mergeCell ref="G554:G555"/>
    <mergeCell ref="J1447:J1454"/>
    <mergeCell ref="K1294:K1295"/>
    <mergeCell ref="K1403:K1406"/>
    <mergeCell ref="F1576:F1577"/>
    <mergeCell ref="L1276:L1280"/>
    <mergeCell ref="I1292:I1293"/>
    <mergeCell ref="L814:L816"/>
    <mergeCell ref="F752:F753"/>
    <mergeCell ref="L940:L941"/>
    <mergeCell ref="M1423:M1443"/>
    <mergeCell ref="M544:M545"/>
    <mergeCell ref="J1043:J1044"/>
    <mergeCell ref="G1238:G1242"/>
    <mergeCell ref="K1069:K1074"/>
    <mergeCell ref="J1555:J1558"/>
    <mergeCell ref="G1596:G1599"/>
    <mergeCell ref="L1541:L1543"/>
    <mergeCell ref="I352:I354"/>
    <mergeCell ref="L895:L905"/>
    <mergeCell ref="H803:H806"/>
    <mergeCell ref="G810:G816"/>
    <mergeCell ref="K1292:K1293"/>
    <mergeCell ref="F1499:F1504"/>
    <mergeCell ref="K1290:M1290"/>
    <mergeCell ref="I1208:I1210"/>
    <mergeCell ref="I1368:I1373"/>
    <mergeCell ref="J1230:J1234"/>
    <mergeCell ref="K1225:K1229"/>
    <mergeCell ref="M701:M706"/>
    <mergeCell ref="K810:K813"/>
    <mergeCell ref="H908:J908"/>
    <mergeCell ref="J1177:J1180"/>
    <mergeCell ref="G694:G697"/>
    <mergeCell ref="M1551:M1554"/>
    <mergeCell ref="H1529:H1531"/>
    <mergeCell ref="J1596:J1599"/>
    <mergeCell ref="K1579:M1579"/>
    <mergeCell ref="I1592:I1595"/>
    <mergeCell ref="K389:K392"/>
    <mergeCell ref="L389:L392"/>
    <mergeCell ref="H420:H422"/>
    <mergeCell ref="H1004:J1004"/>
    <mergeCell ref="K1274:M1274"/>
    <mergeCell ref="H1106:J1106"/>
    <mergeCell ref="G1541:G1543"/>
    <mergeCell ref="I531:I539"/>
    <mergeCell ref="I51:I56"/>
    <mergeCell ref="L85:L86"/>
    <mergeCell ref="K512:K522"/>
    <mergeCell ref="K423:K424"/>
    <mergeCell ref="H736:J736"/>
    <mergeCell ref="G615:G620"/>
    <mergeCell ref="L133:L134"/>
    <mergeCell ref="K98:M98"/>
    <mergeCell ref="H701:H706"/>
    <mergeCell ref="H571:H575"/>
    <mergeCell ref="H1235:H1237"/>
    <mergeCell ref="M1225:M1229"/>
    <mergeCell ref="K95:K96"/>
    <mergeCell ref="J51:J56"/>
    <mergeCell ref="K1200:M1200"/>
    <mergeCell ref="G105:G107"/>
    <mergeCell ref="G100:G101"/>
    <mergeCell ref="I502:I511"/>
    <mergeCell ref="I814:I816"/>
    <mergeCell ref="K840:K844"/>
    <mergeCell ref="G1122:G1125"/>
    <mergeCell ref="H114:H116"/>
    <mergeCell ref="L137:L138"/>
    <mergeCell ref="K682:K693"/>
    <mergeCell ref="H808:J808"/>
    <mergeCell ref="L778:L779"/>
    <mergeCell ref="K486:K489"/>
    <mergeCell ref="K1160:M1160"/>
    <mergeCell ref="G512:G517"/>
    <mergeCell ref="M344:M345"/>
    <mergeCell ref="K634:M634"/>
    <mergeCell ref="G1007:G1009"/>
    <mergeCell ref="G1555:G1558"/>
    <mergeCell ref="K11:K12"/>
    <mergeCell ref="F757:F764"/>
    <mergeCell ref="J512:J522"/>
    <mergeCell ref="G508:G510"/>
    <mergeCell ref="F586:F587"/>
    <mergeCell ref="K1037:K1042"/>
    <mergeCell ref="I754:I756"/>
    <mergeCell ref="K867:M867"/>
    <mergeCell ref="L1486:L1491"/>
    <mergeCell ref="G1551:G1554"/>
    <mergeCell ref="K748:M748"/>
    <mergeCell ref="L135:L136"/>
    <mergeCell ref="F834:F844"/>
    <mergeCell ref="L873:L877"/>
    <mergeCell ref="H248:J248"/>
    <mergeCell ref="L1499:L1504"/>
    <mergeCell ref="I18:I19"/>
    <mergeCell ref="H18:H19"/>
    <mergeCell ref="K18:K19"/>
    <mergeCell ref="H1054:H1059"/>
    <mergeCell ref="M409:M413"/>
    <mergeCell ref="M607:M610"/>
    <mergeCell ref="M1235:M1237"/>
    <mergeCell ref="H743:J743"/>
    <mergeCell ref="I1147:I1149"/>
    <mergeCell ref="M1173:M1176"/>
    <mergeCell ref="M738:M741"/>
    <mergeCell ref="M940:M941"/>
    <mergeCell ref="M776:M777"/>
    <mergeCell ref="K40:K47"/>
    <mergeCell ref="K151:K152"/>
    <mergeCell ref="F28:F31"/>
    <mergeCell ref="G114:G116"/>
    <mergeCell ref="J156:J167"/>
    <mergeCell ref="G1494:G1497"/>
    <mergeCell ref="L95:L96"/>
    <mergeCell ref="K1186:K1187"/>
    <mergeCell ref="I387:I388"/>
    <mergeCell ref="I1024:I1027"/>
    <mergeCell ref="K1147:K1149"/>
    <mergeCell ref="K131:M131"/>
    <mergeCell ref="J925:J931"/>
    <mergeCell ref="H58:J58"/>
    <mergeCell ref="F873:F877"/>
    <mergeCell ref="M694:M697"/>
    <mergeCell ref="G1269:G1272"/>
    <mergeCell ref="J262:J264"/>
    <mergeCell ref="K118:M118"/>
    <mergeCell ref="L1455:L1461"/>
    <mergeCell ref="G1054:G1057"/>
    <mergeCell ref="I1235:I1237"/>
    <mergeCell ref="H49:J49"/>
    <mergeCell ref="J40:J47"/>
    <mergeCell ref="H1462:H1466"/>
    <mergeCell ref="K801:M801"/>
    <mergeCell ref="K1195:K1198"/>
    <mergeCell ref="L344:L345"/>
    <mergeCell ref="L571:L575"/>
    <mergeCell ref="G1243:G1247"/>
    <mergeCell ref="L1248:L1257"/>
    <mergeCell ref="K795:K796"/>
    <mergeCell ref="H778:H779"/>
    <mergeCell ref="G51:G56"/>
    <mergeCell ref="D60:D65"/>
    <mergeCell ref="K1162:K1163"/>
    <mergeCell ref="K1445:M1445"/>
    <mergeCell ref="M93:M94"/>
    <mergeCell ref="I708:I713"/>
    <mergeCell ref="H738:H741"/>
    <mergeCell ref="G214:G218"/>
    <mergeCell ref="H1001:H1002"/>
    <mergeCell ref="J917:J924"/>
    <mergeCell ref="M682:M693"/>
    <mergeCell ref="I776:I777"/>
    <mergeCell ref="J526:J530"/>
    <mergeCell ref="J432:J435"/>
    <mergeCell ref="J752:J753"/>
    <mergeCell ref="H563:J563"/>
    <mergeCell ref="I133:I134"/>
    <mergeCell ref="I546:I551"/>
    <mergeCell ref="H925:H931"/>
    <mergeCell ref="K592:K597"/>
    <mergeCell ref="H346:H347"/>
    <mergeCell ref="G93:G94"/>
    <mergeCell ref="M917:M924"/>
    <mergeCell ref="K863:K865"/>
    <mergeCell ref="G95:G96"/>
    <mergeCell ref="G486:G491"/>
    <mergeCell ref="G433:G435"/>
    <mergeCell ref="H460:H470"/>
    <mergeCell ref="K302:K303"/>
    <mergeCell ref="H940:H941"/>
    <mergeCell ref="L348:L351"/>
    <mergeCell ref="K307:K308"/>
    <mergeCell ref="K1075:K1080"/>
    <mergeCell ref="K125:K129"/>
    <mergeCell ref="J1225:J1229"/>
    <mergeCell ref="D1069:D1074"/>
    <mergeCell ref="K544:K545"/>
    <mergeCell ref="J1130:J1133"/>
    <mergeCell ref="K960:K961"/>
    <mergeCell ref="L114:L116"/>
    <mergeCell ref="K248:M248"/>
    <mergeCell ref="G925:G931"/>
    <mergeCell ref="D546:D551"/>
    <mergeCell ref="J694:J697"/>
    <mergeCell ref="L682:L693"/>
    <mergeCell ref="F1020:F1023"/>
    <mergeCell ref="L795:L796"/>
    <mergeCell ref="I974:I977"/>
    <mergeCell ref="J1269:J1272"/>
    <mergeCell ref="J1276:J1280"/>
    <mergeCell ref="H834:H839"/>
    <mergeCell ref="J486:J489"/>
    <mergeCell ref="F125:F129"/>
    <mergeCell ref="I268:I270"/>
    <mergeCell ref="M1276:M1280"/>
    <mergeCell ref="M1269:M1272"/>
    <mergeCell ref="M626:M632"/>
    <mergeCell ref="K590:K591"/>
    <mergeCell ref="M834:M839"/>
    <mergeCell ref="L432:L435"/>
    <mergeCell ref="L1195:L1198"/>
    <mergeCell ref="M397:M400"/>
    <mergeCell ref="H133:H134"/>
    <mergeCell ref="I156:I167"/>
    <mergeCell ref="D1113:D1114"/>
    <mergeCell ref="L1492:L1497"/>
    <mergeCell ref="J1037:J1042"/>
    <mergeCell ref="L1423:L1443"/>
    <mergeCell ref="L1296:L1299"/>
    <mergeCell ref="I1334:I1335"/>
    <mergeCell ref="I512:I522"/>
    <mergeCell ref="L1334:L1335"/>
    <mergeCell ref="D1220:D1224"/>
    <mergeCell ref="H1445:J1445"/>
    <mergeCell ref="J1360:J1365"/>
    <mergeCell ref="F526:F530"/>
    <mergeCell ref="D738:D741"/>
    <mergeCell ref="J346:J347"/>
    <mergeCell ref="J387:J388"/>
    <mergeCell ref="I397:I400"/>
    <mergeCell ref="K352:K354"/>
    <mergeCell ref="I389:I392"/>
    <mergeCell ref="F925:F931"/>
    <mergeCell ref="K1310:K1311"/>
    <mergeCell ref="D925:D931"/>
    <mergeCell ref="D1333:D1341"/>
    <mergeCell ref="F1385:F1388"/>
    <mergeCell ref="K873:K877"/>
    <mergeCell ref="D951:D952"/>
    <mergeCell ref="D778:D779"/>
    <mergeCell ref="F659:F664"/>
    <mergeCell ref="D1054:D1059"/>
    <mergeCell ref="H1014:H1015"/>
    <mergeCell ref="H1375:J1375"/>
    <mergeCell ref="F409:F413"/>
    <mergeCell ref="F694:F697"/>
    <mergeCell ref="G571:G575"/>
    <mergeCell ref="G1474:G1481"/>
    <mergeCell ref="J1393:J1396"/>
    <mergeCell ref="I881:I894"/>
    <mergeCell ref="K1259:M1259"/>
    <mergeCell ref="L848:L857"/>
    <mergeCell ref="M935:M936"/>
    <mergeCell ref="H979:J979"/>
    <mergeCell ref="K979:M979"/>
    <mergeCell ref="G1403:G1406"/>
    <mergeCell ref="I1300:I1302"/>
    <mergeCell ref="K1248:K1257"/>
    <mergeCell ref="H1316:H1317"/>
    <mergeCell ref="I1403:I1406"/>
    <mergeCell ref="M1296:M1299"/>
    <mergeCell ref="I1455:I1461"/>
    <mergeCell ref="J778:J779"/>
    <mergeCell ref="H1200:J1200"/>
    <mergeCell ref="K1001:K1002"/>
    <mergeCell ref="K1048:K1053"/>
    <mergeCell ref="L840:L844"/>
    <mergeCell ref="K969:K970"/>
    <mergeCell ref="L1173:L1176"/>
    <mergeCell ref="K834:K839"/>
    <mergeCell ref="L1215:L1224"/>
    <mergeCell ref="J1366:J1367"/>
    <mergeCell ref="I1248:I1257"/>
    <mergeCell ref="H974:H977"/>
    <mergeCell ref="J1385:J1388"/>
    <mergeCell ref="H1206:J1206"/>
    <mergeCell ref="M1310:M1311"/>
    <mergeCell ref="J1265:J1268"/>
    <mergeCell ref="M1389:M1392"/>
    <mergeCell ref="L1617:L1621"/>
    <mergeCell ref="I1186:I1187"/>
    <mergeCell ref="J1587:J1588"/>
    <mergeCell ref="F672:F675"/>
    <mergeCell ref="I1296:I1299"/>
    <mergeCell ref="K1193:M1193"/>
    <mergeCell ref="F512:F522"/>
    <mergeCell ref="M108:M110"/>
    <mergeCell ref="L1235:L1237"/>
    <mergeCell ref="H154:J154"/>
    <mergeCell ref="I87:I88"/>
    <mergeCell ref="J192:J197"/>
    <mergeCell ref="H1596:H1599"/>
    <mergeCell ref="M1587:M1588"/>
    <mergeCell ref="L1551:L1554"/>
    <mergeCell ref="L1587:L1588"/>
    <mergeCell ref="H1584:J1584"/>
    <mergeCell ref="H1581:H1582"/>
    <mergeCell ref="J1576:J1577"/>
    <mergeCell ref="J1571:J1572"/>
    <mergeCell ref="M598:M603"/>
    <mergeCell ref="J972:J973"/>
    <mergeCell ref="M1069:M1074"/>
    <mergeCell ref="H626:H632"/>
    <mergeCell ref="J1312:J1313"/>
    <mergeCell ref="K426:M426"/>
    <mergeCell ref="K925:K931"/>
    <mergeCell ref="M1130:M1133"/>
    <mergeCell ref="M1576:M1577"/>
    <mergeCell ref="J1592:J1595"/>
    <mergeCell ref="K1551:K1554"/>
    <mergeCell ref="L715:L722"/>
    <mergeCell ref="D1596:D1599"/>
    <mergeCell ref="K653:K655"/>
    <mergeCell ref="J1118:J1121"/>
    <mergeCell ref="J1284:J1288"/>
    <mergeCell ref="K1605:M1605"/>
    <mergeCell ref="H1615:J1615"/>
    <mergeCell ref="M1600:M1603"/>
    <mergeCell ref="M1147:M1149"/>
    <mergeCell ref="J592:J597"/>
    <mergeCell ref="G1281:G1283"/>
    <mergeCell ref="M307:M308"/>
    <mergeCell ref="H274:H277"/>
    <mergeCell ref="M437:M440"/>
    <mergeCell ref="D1012:D1013"/>
    <mergeCell ref="M1573:M1575"/>
    <mergeCell ref="M1617:M1621"/>
    <mergeCell ref="J1186:J1187"/>
    <mergeCell ref="M405:M408"/>
    <mergeCell ref="H387:H388"/>
    <mergeCell ref="L1122:L1125"/>
    <mergeCell ref="H1492:H1497"/>
    <mergeCell ref="J1024:J1027"/>
    <mergeCell ref="H1261:H1264"/>
    <mergeCell ref="G721:G722"/>
    <mergeCell ref="F1455:F1461"/>
    <mergeCell ref="H867:J867"/>
    <mergeCell ref="I1238:I1247"/>
    <mergeCell ref="J1113:J1114"/>
    <mergeCell ref="M1555:M1558"/>
    <mergeCell ref="J1551:J1554"/>
    <mergeCell ref="L1467:L1481"/>
    <mergeCell ref="I611:I614"/>
    <mergeCell ref="H1636:H1637"/>
    <mergeCell ref="G60:G65"/>
    <mergeCell ref="D966:D970"/>
    <mergeCell ref="F1462:F1466"/>
    <mergeCell ref="L531:L539"/>
    <mergeCell ref="L352:L354"/>
    <mergeCell ref="L1054:L1059"/>
    <mergeCell ref="H250:H251"/>
    <mergeCell ref="H1189:J1189"/>
    <mergeCell ref="K858:K862"/>
    <mergeCell ref="H1126:H1129"/>
    <mergeCell ref="H1523:J1523"/>
    <mergeCell ref="H1296:H1299"/>
    <mergeCell ref="F1102:F1103"/>
    <mergeCell ref="K207:K210"/>
    <mergeCell ref="H87:H88"/>
    <mergeCell ref="D1235:D1237"/>
    <mergeCell ref="L917:L924"/>
    <mergeCell ref="K776:K777"/>
    <mergeCell ref="D754:D756"/>
    <mergeCell ref="L1265:L1268"/>
    <mergeCell ref="H1403:H1406"/>
    <mergeCell ref="G834:G839"/>
    <mergeCell ref="G133:G134"/>
    <mergeCell ref="L368:L371"/>
    <mergeCell ref="J607:J610"/>
    <mergeCell ref="G344:G345"/>
    <mergeCell ref="K156:K167"/>
    <mergeCell ref="J405:J408"/>
    <mergeCell ref="G274:G277"/>
    <mergeCell ref="F969:F970"/>
    <mergeCell ref="D1455:D1461"/>
    <mergeCell ref="K1634:K1635"/>
    <mergeCell ref="M1081:M1083"/>
    <mergeCell ref="J1539:J1540"/>
    <mergeCell ref="M1401:M1402"/>
    <mergeCell ref="D1622:D1626"/>
    <mergeCell ref="H409:H413"/>
    <mergeCell ref="K1596:K1599"/>
    <mergeCell ref="K480:M480"/>
    <mergeCell ref="I1622:I1626"/>
    <mergeCell ref="L274:L277"/>
    <mergeCell ref="F1065:F1083"/>
    <mergeCell ref="L1401:L1402"/>
    <mergeCell ref="H1573:H1575"/>
    <mergeCell ref="G940:G941"/>
    <mergeCell ref="K1389:K1392"/>
    <mergeCell ref="G653:G655"/>
    <mergeCell ref="I1617:I1621"/>
    <mergeCell ref="F1186:F1187"/>
    <mergeCell ref="I405:I408"/>
    <mergeCell ref="H1122:H1125"/>
    <mergeCell ref="L1634:L1635"/>
    <mergeCell ref="F1269:F1272"/>
    <mergeCell ref="D659:D664"/>
    <mergeCell ref="I863:I865"/>
    <mergeCell ref="K1539:K1540"/>
    <mergeCell ref="H682:H693"/>
    <mergeCell ref="J653:J655"/>
    <mergeCell ref="L590:L591"/>
    <mergeCell ref="H819:J819"/>
    <mergeCell ref="D1403:D1406"/>
    <mergeCell ref="J795:J796"/>
    <mergeCell ref="L1126:L1129"/>
    <mergeCell ref="D1512:D1513"/>
    <mergeCell ref="I1037:I1042"/>
    <mergeCell ref="G873:G877"/>
    <mergeCell ref="J715:J722"/>
    <mergeCell ref="D1342:D1346"/>
    <mergeCell ref="G1455:G1461"/>
    <mergeCell ref="F1118:F1121"/>
    <mergeCell ref="J1611:J1613"/>
    <mergeCell ref="D674:D675"/>
    <mergeCell ref="M848:M857"/>
    <mergeCell ref="F1168:F1169"/>
    <mergeCell ref="I694:I697"/>
    <mergeCell ref="L1284:L1288"/>
    <mergeCell ref="G281:G299"/>
    <mergeCell ref="F1294:F1295"/>
    <mergeCell ref="J611:J614"/>
    <mergeCell ref="D1514:D1515"/>
    <mergeCell ref="I966:I968"/>
    <mergeCell ref="D938:D939"/>
    <mergeCell ref="J1081:J1083"/>
    <mergeCell ref="I1118:I1121"/>
    <mergeCell ref="G307:G309"/>
    <mergeCell ref="H917:H924"/>
    <mergeCell ref="D895:D906"/>
    <mergeCell ref="K754:K756"/>
    <mergeCell ref="H590:H591"/>
    <mergeCell ref="K1116:M1116"/>
    <mergeCell ref="I1225:I1229"/>
    <mergeCell ref="L1316:L1317"/>
    <mergeCell ref="K819:M819"/>
    <mergeCell ref="H945:H947"/>
    <mergeCell ref="K290:K293"/>
    <mergeCell ref="K49:M49"/>
    <mergeCell ref="J1307:J1308"/>
    <mergeCell ref="H1290:J1290"/>
    <mergeCell ref="D571:D575"/>
    <mergeCell ref="L863:L865"/>
    <mergeCell ref="L140:L141"/>
    <mergeCell ref="I108:I110"/>
    <mergeCell ref="M611:M614"/>
    <mergeCell ref="M974:M977"/>
    <mergeCell ref="G1220:G1224"/>
    <mergeCell ref="J1235:J1237"/>
    <mergeCell ref="D28:D31"/>
    <mergeCell ref="G861:G862"/>
    <mergeCell ref="I85:I86"/>
    <mergeCell ref="I598:I603"/>
    <mergeCell ref="I544:I545"/>
    <mergeCell ref="J1031:J1036"/>
    <mergeCell ref="M795:M796"/>
    <mergeCell ref="H1130:H1133"/>
    <mergeCell ref="G1069:G1072"/>
    <mergeCell ref="J114:J116"/>
    <mergeCell ref="D111:D113"/>
    <mergeCell ref="M1284:M1288"/>
    <mergeCell ref="M346:M347"/>
    <mergeCell ref="F1300:F1302"/>
    <mergeCell ref="F1147:F1149"/>
    <mergeCell ref="D940:D941"/>
    <mergeCell ref="F1130:F1133"/>
    <mergeCell ref="F1142:F1143"/>
    <mergeCell ref="D409:D413"/>
    <mergeCell ref="M51:M56"/>
    <mergeCell ref="M1186:M1187"/>
    <mergeCell ref="D83:D84"/>
    <mergeCell ref="F83:F84"/>
    <mergeCell ref="H83:H84"/>
    <mergeCell ref="I83:I84"/>
    <mergeCell ref="J83:J84"/>
    <mergeCell ref="K83:K84"/>
    <mergeCell ref="L83:L84"/>
    <mergeCell ref="M83:M84"/>
    <mergeCell ref="I1069:I1074"/>
    <mergeCell ref="H694:H697"/>
    <mergeCell ref="F1113:F1114"/>
    <mergeCell ref="K154:M154"/>
    <mergeCell ref="M452:M453"/>
    <mergeCell ref="J723:J734"/>
    <mergeCell ref="D1043:D1044"/>
    <mergeCell ref="D863:D865"/>
    <mergeCell ref="M432:M435"/>
    <mergeCell ref="M752:M753"/>
    <mergeCell ref="G261:G264"/>
    <mergeCell ref="M672:M675"/>
    <mergeCell ref="J151:J152"/>
    <mergeCell ref="L250:L251"/>
    <mergeCell ref="H1085:J1085"/>
    <mergeCell ref="D250:D251"/>
    <mergeCell ref="M147:M148"/>
    <mergeCell ref="K418:M418"/>
    <mergeCell ref="K87:K88"/>
    <mergeCell ref="H1113:H1114"/>
    <mergeCell ref="G910:G916"/>
    <mergeCell ref="I580:I585"/>
    <mergeCell ref="G676:G681"/>
    <mergeCell ref="H933:J933"/>
    <mergeCell ref="L51:L56"/>
    <mergeCell ref="D1576:D1577"/>
    <mergeCell ref="G1368:G1373"/>
    <mergeCell ref="D1261:D1264"/>
    <mergeCell ref="L1555:L1558"/>
    <mergeCell ref="D1385:D1388"/>
    <mergeCell ref="K1284:K1288"/>
    <mergeCell ref="K1316:K1317"/>
    <mergeCell ref="I1401:I1402"/>
    <mergeCell ref="D502:D511"/>
    <mergeCell ref="F1281:F1283"/>
    <mergeCell ref="K1018:M1018"/>
    <mergeCell ref="M512:M522"/>
    <mergeCell ref="H1213:J1213"/>
    <mergeCell ref="I607:I610"/>
    <mergeCell ref="H502:H511"/>
    <mergeCell ref="F607:F610"/>
    <mergeCell ref="H1401:H1402"/>
    <mergeCell ref="K1235:K1237"/>
    <mergeCell ref="D974:D977"/>
    <mergeCell ref="K715:K722"/>
    <mergeCell ref="D1573:D1575"/>
    <mergeCell ref="D1499:D1504"/>
    <mergeCell ref="G701:G706"/>
    <mergeCell ref="M1499:M1504"/>
    <mergeCell ref="G1462:G1466"/>
    <mergeCell ref="G1322:G1325"/>
    <mergeCell ref="L701:L706"/>
    <mergeCell ref="J873:J877"/>
    <mergeCell ref="H592:H597"/>
    <mergeCell ref="I1423:I1443"/>
    <mergeCell ref="L1208:L1210"/>
    <mergeCell ref="H1634:H1635"/>
    <mergeCell ref="J1514:J1515"/>
    <mergeCell ref="K1085:M1085"/>
    <mergeCell ref="L490:L496"/>
    <mergeCell ref="L512:L522"/>
    <mergeCell ref="G1539:G1540"/>
    <mergeCell ref="G1037:G1040"/>
    <mergeCell ref="H1632:J1632"/>
    <mergeCell ref="I149:I150"/>
    <mergeCell ref="K482:K485"/>
    <mergeCell ref="G444:G447"/>
    <mergeCell ref="F592:F597"/>
    <mergeCell ref="I307:I308"/>
    <mergeCell ref="H1617:H1621"/>
    <mergeCell ref="L1600:L1603"/>
    <mergeCell ref="L1592:L1595"/>
    <mergeCell ref="K414:K416"/>
    <mergeCell ref="F156:F167"/>
    <mergeCell ref="H1609:J1609"/>
    <mergeCell ref="I682:I693"/>
    <mergeCell ref="H418:J418"/>
    <mergeCell ref="F1238:F1242"/>
    <mergeCell ref="M151:M152"/>
    <mergeCell ref="K1592:K1595"/>
    <mergeCell ref="K1173:K1176"/>
    <mergeCell ref="J281:J284"/>
    <mergeCell ref="L302:L303"/>
    <mergeCell ref="K368:K371"/>
    <mergeCell ref="M450:M451"/>
    <mergeCell ref="G368:G371"/>
    <mergeCell ref="H294:H299"/>
    <mergeCell ref="F1634:F1637"/>
    <mergeCell ref="H1555:H1558"/>
    <mergeCell ref="D701:D707"/>
    <mergeCell ref="G1472:G1473"/>
    <mergeCell ref="L409:L413"/>
    <mergeCell ref="J1403:J1406"/>
    <mergeCell ref="D729:D734"/>
    <mergeCell ref="H168:H179"/>
    <mergeCell ref="F772:F779"/>
    <mergeCell ref="K1213:M1213"/>
    <mergeCell ref="F60:F65"/>
    <mergeCell ref="D87:D88"/>
    <mergeCell ref="K502:K511"/>
    <mergeCell ref="K814:K816"/>
    <mergeCell ref="F227:F228"/>
    <mergeCell ref="J85:J86"/>
    <mergeCell ref="J598:J603"/>
    <mergeCell ref="F192:F197"/>
    <mergeCell ref="I423:I424"/>
    <mergeCell ref="K81:M81"/>
    <mergeCell ref="E288:E289"/>
    <mergeCell ref="M783:M786"/>
    <mergeCell ref="F1284:F1288"/>
    <mergeCell ref="K387:K388"/>
    <mergeCell ref="H352:H354"/>
    <mergeCell ref="K1261:K1264"/>
    <mergeCell ref="G448:G455"/>
    <mergeCell ref="H272:J272"/>
    <mergeCell ref="L502:L511"/>
    <mergeCell ref="I452:I453"/>
    <mergeCell ref="M66:M71"/>
    <mergeCell ref="D1296:D1299"/>
    <mergeCell ref="K85:K86"/>
    <mergeCell ref="K9:M9"/>
    <mergeCell ref="L1162:L1163"/>
    <mergeCell ref="L1238:L1247"/>
    <mergeCell ref="G414:G416"/>
    <mergeCell ref="G853:G857"/>
    <mergeCell ref="H1171:J1171"/>
    <mergeCell ref="J1006:J1009"/>
    <mergeCell ref="M100:M101"/>
    <mergeCell ref="K225:M225"/>
    <mergeCell ref="M1118:M1121"/>
    <mergeCell ref="H776:H777"/>
    <mergeCell ref="G156:G167"/>
    <mergeCell ref="L1024:L1027"/>
    <mergeCell ref="K1151:M1151"/>
    <mergeCell ref="G592:G597"/>
    <mergeCell ref="H414:H416"/>
    <mergeCell ref="G938:G939"/>
    <mergeCell ref="G300:G304"/>
    <mergeCell ref="I752:I753"/>
    <mergeCell ref="G83:G84"/>
    <mergeCell ref="L32:L39"/>
    <mergeCell ref="J1238:J1247"/>
    <mergeCell ref="I28:I31"/>
    <mergeCell ref="L18:L19"/>
    <mergeCell ref="M87:M88"/>
    <mergeCell ref="L87:L88"/>
    <mergeCell ref="H135:H136"/>
    <mergeCell ref="H286:H288"/>
    <mergeCell ref="K940:K941"/>
    <mergeCell ref="M18:M19"/>
    <mergeCell ref="G40:G47"/>
    <mergeCell ref="H1230:H1234"/>
    <mergeCell ref="D1636:D1637"/>
    <mergeCell ref="H1423:H1443"/>
    <mergeCell ref="L974:L977"/>
    <mergeCell ref="D135:D136"/>
    <mergeCell ref="M1230:M1234"/>
    <mergeCell ref="D873:D877"/>
    <mergeCell ref="I1269:I1272"/>
    <mergeCell ref="I1276:I1280"/>
    <mergeCell ref="K895:K905"/>
    <mergeCell ref="H437:H440"/>
    <mergeCell ref="F1307:F1308"/>
    <mergeCell ref="H863:H865"/>
    <mergeCell ref="F1539:F1543"/>
    <mergeCell ref="H1173:H1176"/>
    <mergeCell ref="G803:G806"/>
    <mergeCell ref="M1571:M1572"/>
    <mergeCell ref="K1611:K1613"/>
    <mergeCell ref="H1600:H1603"/>
    <mergeCell ref="M945:M947"/>
    <mergeCell ref="I1555:I1558"/>
    <mergeCell ref="J895:J905"/>
    <mergeCell ref="K262:K264"/>
    <mergeCell ref="K1581:K1582"/>
    <mergeCell ref="F407:F408"/>
    <mergeCell ref="J1261:J1264"/>
    <mergeCell ref="H1467:H1481"/>
    <mergeCell ref="F268:F270"/>
    <mergeCell ref="F1596:F1599"/>
    <mergeCell ref="G219:G223"/>
    <mergeCell ref="G1634:G1635"/>
    <mergeCell ref="H1029:J1029"/>
    <mergeCell ref="D981:D982"/>
    <mergeCell ref="H1368:H1373"/>
    <mergeCell ref="F783:F790"/>
    <mergeCell ref="M149:M150"/>
    <mergeCell ref="I432:I435"/>
    <mergeCell ref="M1215:M1224"/>
    <mergeCell ref="H98:J98"/>
    <mergeCell ref="I344:I345"/>
    <mergeCell ref="K966:K968"/>
    <mergeCell ref="K1024:K1027"/>
    <mergeCell ref="J342:J343"/>
    <mergeCell ref="J834:J839"/>
    <mergeCell ref="H1075:H1080"/>
    <mergeCell ref="G526:G529"/>
    <mergeCell ref="K192:K197"/>
    <mergeCell ref="J344:J345"/>
    <mergeCell ref="G1208:G1210"/>
    <mergeCell ref="L1368:L1373"/>
    <mergeCell ref="J1248:J1257"/>
    <mergeCell ref="I490:I496"/>
    <mergeCell ref="J145:J146"/>
    <mergeCell ref="I840:I844"/>
    <mergeCell ref="M490:M496"/>
    <mergeCell ref="L1186:L1187"/>
    <mergeCell ref="I1130:I1133"/>
    <mergeCell ref="K808:M808"/>
    <mergeCell ref="J701:J706"/>
    <mergeCell ref="K1307:K1308"/>
    <mergeCell ref="M750:M751"/>
    <mergeCell ref="M1238:M1247"/>
    <mergeCell ref="G1126:G1129"/>
    <mergeCell ref="H1182:J1182"/>
    <mergeCell ref="H607:H610"/>
    <mergeCell ref="K1447:K1452"/>
    <mergeCell ref="L1447:L1452"/>
    <mergeCell ref="M1447:M1452"/>
    <mergeCell ref="K1576:K1577"/>
    <mergeCell ref="I1573:I1575"/>
    <mergeCell ref="L966:L968"/>
    <mergeCell ref="K701:K706"/>
    <mergeCell ref="M1208:M1210"/>
    <mergeCell ref="H1081:H1083"/>
    <mergeCell ref="F1220:F1224"/>
    <mergeCell ref="F653:F655"/>
    <mergeCell ref="K111:K113"/>
    <mergeCell ref="I250:I251"/>
    <mergeCell ref="M1377:M1380"/>
    <mergeCell ref="F1091:F1093"/>
    <mergeCell ref="I1126:I1129"/>
    <mergeCell ref="H1147:H1149"/>
    <mergeCell ref="H1455:H1461"/>
    <mergeCell ref="I1576:I1577"/>
    <mergeCell ref="H1560:J1560"/>
    <mergeCell ref="I1462:I1466"/>
    <mergeCell ref="K1408:M1408"/>
    <mergeCell ref="L1410:L1422"/>
    <mergeCell ref="J1492:J1497"/>
    <mergeCell ref="M1492:M1497"/>
    <mergeCell ref="I556:I561"/>
    <mergeCell ref="M647:M652"/>
    <mergeCell ref="I1410:I1422"/>
    <mergeCell ref="L1385:L1388"/>
    <mergeCell ref="M590:M591"/>
    <mergeCell ref="K1455:K1461"/>
    <mergeCell ref="K1043:K1044"/>
  </mergeCells>
  <printOptions horizontalCentered="1" verticalCentered="1"/>
  <pageMargins left="0.25" right="0.25" top="0.75" bottom="0.75" header="0.3" footer="0.3"/>
  <pageSetup scale="55" fitToHeight="0" orientation="landscape"/>
  <headerFooter>
    <oddFooter>&amp;C&amp;"Calibri"&amp;11 &amp;K000000Page &amp;P of &amp; 27_x000D_# Grupo Lamosa - Información de uso Interno&amp;R
&amp;G</oddFooter>
  </headerFooter>
  <rowBreaks count="28" manualBreakCount="28">
    <brk id="78" max="14" man="1"/>
    <brk id="141" max="14" man="1"/>
    <brk id="203" max="13" man="1"/>
    <brk id="246" max="13" man="1"/>
    <brk id="277" max="14" man="1"/>
    <brk id="383" max="14" man="1"/>
    <brk id="424" max="15" man="1"/>
    <brk id="477" max="15" man="1"/>
    <brk id="540" max="15" man="1"/>
    <brk id="603" max="14" man="1"/>
    <brk id="655" max="14" man="1"/>
    <brk id="697" max="13" man="1"/>
    <brk id="764" max="13" man="1"/>
    <brk id="816" max="13" man="1"/>
    <brk id="906" max="14" man="1"/>
    <brk id="947" max="14" man="1"/>
    <brk id="1002" max="15" man="1"/>
    <brk id="1044" max="13" man="1"/>
    <brk id="1094" max="13" man="1"/>
    <brk id="1133" max="13" man="1"/>
    <brk id="1163" max="13" man="1"/>
    <brk id="1211" max="13" man="1"/>
    <brk id="1272" max="13" man="1"/>
    <brk id="1356" max="15" man="1"/>
    <brk id="1443" max="13" man="1"/>
    <brk id="1482" max="14" man="1"/>
    <brk id="1535" max="14" man="1"/>
    <brk id="1588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0"/>
    <pageSetUpPr fitToPage="1"/>
  </sheetPr>
  <dimension ref="A1:O299"/>
  <sheetViews>
    <sheetView zoomScale="84" zoomScaleNormal="84" zoomScaleSheetLayoutView="88" zoomScalePageLayoutView="85" workbookViewId="0"/>
  </sheetViews>
  <sheetFormatPr defaultColWidth="9.42578125" defaultRowHeight="14.45"/>
  <cols>
    <col min="1" max="1" width="19.42578125" style="685" bestFit="1" customWidth="1"/>
    <col min="2" max="2" width="18.5703125" style="686" customWidth="1"/>
    <col min="3" max="3" width="22.5703125" style="687" bestFit="1" customWidth="1"/>
    <col min="4" max="4" width="59.42578125" style="687" customWidth="1"/>
    <col min="5" max="6" width="12.5703125" style="688" customWidth="1"/>
    <col min="7" max="7" width="8.42578125" style="688" customWidth="1"/>
    <col min="8" max="8" width="18.5703125" style="689" customWidth="1"/>
    <col min="9" max="9" width="15.5703125" style="689" customWidth="1"/>
    <col min="10" max="10" width="8.5703125" style="688" customWidth="1"/>
    <col min="11" max="11" width="17.42578125" style="689" customWidth="1"/>
    <col min="12" max="12" width="13" style="689" customWidth="1"/>
    <col min="13" max="13" width="9.42578125" style="687" customWidth="1"/>
    <col min="14" max="16384" width="9.42578125" style="687"/>
  </cols>
  <sheetData>
    <row r="1" spans="1:12" ht="21.6" customHeight="1" thickBot="1">
      <c r="L1" s="690" t="s">
        <v>93</v>
      </c>
    </row>
    <row r="2" spans="1:12" ht="29.25" customHeight="1" thickBot="1">
      <c r="B2" s="691" t="s">
        <v>2959</v>
      </c>
      <c r="D2" s="692"/>
      <c r="G2" s="1611" t="s">
        <v>101</v>
      </c>
      <c r="H2" s="1716"/>
      <c r="I2" s="1716"/>
      <c r="J2" s="1629" t="s">
        <v>102</v>
      </c>
      <c r="K2" s="1716"/>
      <c r="L2" s="1717"/>
    </row>
    <row r="3" spans="1:12" ht="15" customHeight="1" thickBot="1">
      <c r="B3" s="693" t="s">
        <v>103</v>
      </c>
      <c r="C3" s="694" t="s">
        <v>104</v>
      </c>
      <c r="D3" s="695" t="s">
        <v>105</v>
      </c>
      <c r="E3" s="696" t="s">
        <v>106</v>
      </c>
      <c r="F3" s="696" t="s">
        <v>107</v>
      </c>
      <c r="G3" s="697" t="s">
        <v>108</v>
      </c>
      <c r="H3" s="698" t="s">
        <v>109</v>
      </c>
      <c r="I3" s="699" t="s">
        <v>110</v>
      </c>
      <c r="J3" s="700" t="s">
        <v>111</v>
      </c>
      <c r="K3" s="701" t="s">
        <v>109</v>
      </c>
      <c r="L3" s="702" t="s">
        <v>110</v>
      </c>
    </row>
    <row r="4" spans="1:12" ht="15" customHeight="1" thickBot="1">
      <c r="A4" s="703" t="s">
        <v>143</v>
      </c>
      <c r="B4" s="704" t="s">
        <v>2960</v>
      </c>
      <c r="C4" s="705" t="s">
        <v>278</v>
      </c>
      <c r="D4" s="704" t="s">
        <v>2961</v>
      </c>
      <c r="E4" s="706" t="s">
        <v>109</v>
      </c>
      <c r="F4" s="707">
        <v>4.5138888888888893</v>
      </c>
      <c r="G4" s="708">
        <v>5</v>
      </c>
      <c r="H4" s="709">
        <v>14.56</v>
      </c>
      <c r="I4" s="710">
        <v>56.82</v>
      </c>
      <c r="J4" s="708">
        <v>24</v>
      </c>
      <c r="K4" s="709">
        <v>349.52</v>
      </c>
      <c r="L4" s="710">
        <v>1363.56</v>
      </c>
    </row>
    <row r="5" spans="1:12" s="715" customFormat="1" ht="15" customHeight="1" thickBot="1">
      <c r="A5" s="687"/>
      <c r="B5" s="692"/>
      <c r="C5" s="711"/>
      <c r="D5" s="712"/>
      <c r="E5" s="713"/>
      <c r="F5" s="713"/>
      <c r="G5" s="714"/>
      <c r="H5" s="714"/>
      <c r="I5" s="714"/>
      <c r="J5" s="714"/>
      <c r="K5" s="714"/>
      <c r="L5" s="714"/>
    </row>
    <row r="6" spans="1:12" s="715" customFormat="1" ht="32.1" customHeight="1" thickBot="1">
      <c r="A6" s="716"/>
      <c r="B6" s="691" t="s">
        <v>2962</v>
      </c>
      <c r="C6" s="687"/>
      <c r="D6" s="687"/>
      <c r="E6" s="688"/>
      <c r="F6" s="688"/>
      <c r="G6" s="1598" t="s">
        <v>101</v>
      </c>
      <c r="H6" s="1675"/>
      <c r="I6" s="1675"/>
      <c r="J6" s="1593" t="s">
        <v>102</v>
      </c>
      <c r="K6" s="1675"/>
      <c r="L6" s="1676"/>
    </row>
    <row r="7" spans="1:12" s="715" customFormat="1" ht="15" customHeight="1" thickBot="1">
      <c r="A7" s="716"/>
      <c r="B7" s="694" t="s">
        <v>103</v>
      </c>
      <c r="C7" s="717" t="s">
        <v>104</v>
      </c>
      <c r="D7" s="695" t="s">
        <v>105</v>
      </c>
      <c r="E7" s="718" t="s">
        <v>106</v>
      </c>
      <c r="F7" s="718" t="s">
        <v>107</v>
      </c>
      <c r="G7" s="697" t="s">
        <v>108</v>
      </c>
      <c r="H7" s="698" t="s">
        <v>109</v>
      </c>
      <c r="I7" s="699" t="s">
        <v>110</v>
      </c>
      <c r="J7" s="697" t="s">
        <v>111</v>
      </c>
      <c r="K7" s="698" t="s">
        <v>109</v>
      </c>
      <c r="L7" s="699" t="s">
        <v>110</v>
      </c>
    </row>
    <row r="8" spans="1:12" s="715" customFormat="1" ht="15" customHeight="1" thickBot="1">
      <c r="A8" s="703" t="s">
        <v>112</v>
      </c>
      <c r="B8" s="719" t="s">
        <v>2963</v>
      </c>
      <c r="C8" s="1622" t="s">
        <v>259</v>
      </c>
      <c r="D8" s="720" t="s">
        <v>2964</v>
      </c>
      <c r="E8" s="1594" t="s">
        <v>109</v>
      </c>
      <c r="F8" s="1592">
        <v>2.638888888888888</v>
      </c>
      <c r="G8" s="1595">
        <v>3</v>
      </c>
      <c r="H8" s="1584">
        <v>11.625</v>
      </c>
      <c r="I8" s="1585">
        <v>50.51</v>
      </c>
      <c r="J8" s="1595">
        <v>40</v>
      </c>
      <c r="K8" s="1584">
        <v>465</v>
      </c>
      <c r="L8" s="1585">
        <v>2020.4</v>
      </c>
    </row>
    <row r="9" spans="1:12" s="715" customFormat="1" ht="15" customHeight="1" thickBot="1">
      <c r="A9" s="703"/>
      <c r="B9" s="721" t="s">
        <v>2965</v>
      </c>
      <c r="C9" s="1740"/>
      <c r="D9" s="722" t="s">
        <v>2966</v>
      </c>
      <c r="E9" s="1697"/>
      <c r="F9" s="1697"/>
      <c r="G9" s="1686"/>
      <c r="H9" s="1687"/>
      <c r="I9" s="1689"/>
      <c r="J9" s="1686"/>
      <c r="K9" s="1687"/>
      <c r="L9" s="1689"/>
    </row>
    <row r="10" spans="1:12" s="715" customFormat="1" ht="15" customHeight="1" thickBot="1">
      <c r="A10" s="703"/>
      <c r="B10" s="723" t="s">
        <v>2967</v>
      </c>
      <c r="C10" s="1740"/>
      <c r="D10" s="724" t="s">
        <v>2968</v>
      </c>
      <c r="E10" s="1697"/>
      <c r="F10" s="1697"/>
      <c r="G10" s="1686"/>
      <c r="H10" s="1687"/>
      <c r="I10" s="1689"/>
      <c r="J10" s="1686"/>
      <c r="K10" s="1687"/>
      <c r="L10" s="1689"/>
    </row>
    <row r="11" spans="1:12" s="715" customFormat="1" ht="15" customHeight="1" thickBot="1">
      <c r="A11" s="703"/>
      <c r="B11" s="725" t="s">
        <v>2969</v>
      </c>
      <c r="C11" s="1741"/>
      <c r="D11" s="726" t="s">
        <v>2970</v>
      </c>
      <c r="E11" s="1700"/>
      <c r="F11" s="1700"/>
      <c r="G11" s="1690"/>
      <c r="H11" s="1692"/>
      <c r="I11" s="1694"/>
      <c r="J11" s="1690"/>
      <c r="K11" s="1692"/>
      <c r="L11" s="1694"/>
    </row>
    <row r="12" spans="1:12" s="715" customFormat="1" ht="15" customHeight="1">
      <c r="A12" s="703"/>
      <c r="B12" s="727" t="s">
        <v>2971</v>
      </c>
      <c r="C12" s="713"/>
      <c r="D12" s="692"/>
      <c r="E12" s="713"/>
      <c r="F12" s="713"/>
      <c r="G12" s="713"/>
      <c r="H12" s="728"/>
      <c r="I12" s="728"/>
      <c r="J12" s="713"/>
      <c r="K12" s="728"/>
      <c r="L12" s="728"/>
    </row>
    <row r="13" spans="1:12" s="715" customFormat="1" ht="15" customHeight="1" thickBot="1">
      <c r="A13" s="687"/>
      <c r="B13" s="692"/>
      <c r="C13" s="711"/>
      <c r="D13" s="712"/>
      <c r="E13" s="713"/>
      <c r="F13" s="713"/>
      <c r="G13" s="714"/>
      <c r="H13" s="714"/>
      <c r="I13" s="714"/>
      <c r="J13" s="714"/>
      <c r="K13" s="714"/>
      <c r="L13" s="714"/>
    </row>
    <row r="14" spans="1:12" s="715" customFormat="1" ht="32.1" customHeight="1" thickBot="1">
      <c r="A14" s="716"/>
      <c r="B14" s="729" t="s">
        <v>2972</v>
      </c>
      <c r="C14" s="687"/>
      <c r="D14" s="687"/>
      <c r="E14" s="688"/>
      <c r="F14" s="688"/>
      <c r="G14" s="1598" t="s">
        <v>101</v>
      </c>
      <c r="H14" s="1675"/>
      <c r="I14" s="1675"/>
      <c r="J14" s="1593" t="s">
        <v>102</v>
      </c>
      <c r="K14" s="1675"/>
      <c r="L14" s="1676"/>
    </row>
    <row r="15" spans="1:12" s="715" customFormat="1" ht="15" customHeight="1" thickBot="1">
      <c r="A15" s="716"/>
      <c r="B15" s="717" t="s">
        <v>103</v>
      </c>
      <c r="C15" s="717" t="s">
        <v>104</v>
      </c>
      <c r="D15" s="730" t="s">
        <v>105</v>
      </c>
      <c r="E15" s="718" t="s">
        <v>106</v>
      </c>
      <c r="F15" s="718" t="s">
        <v>107</v>
      </c>
      <c r="G15" s="697" t="s">
        <v>108</v>
      </c>
      <c r="H15" s="698" t="s">
        <v>109</v>
      </c>
      <c r="I15" s="699" t="s">
        <v>110</v>
      </c>
      <c r="J15" s="697" t="s">
        <v>111</v>
      </c>
      <c r="K15" s="698" t="s">
        <v>109</v>
      </c>
      <c r="L15" s="699" t="s">
        <v>110</v>
      </c>
    </row>
    <row r="16" spans="1:12" s="715" customFormat="1" ht="15" customHeight="1" thickBot="1">
      <c r="A16" s="703" t="s">
        <v>112</v>
      </c>
      <c r="B16" s="731" t="s">
        <v>2973</v>
      </c>
      <c r="C16" s="1594" t="s">
        <v>377</v>
      </c>
      <c r="D16" s="719" t="s">
        <v>2974</v>
      </c>
      <c r="E16" s="1594" t="s">
        <v>109</v>
      </c>
      <c r="F16" s="707">
        <v>2.951388888888888</v>
      </c>
      <c r="G16" s="1595">
        <v>3</v>
      </c>
      <c r="H16" s="1584">
        <v>25.83</v>
      </c>
      <c r="I16" s="1585">
        <v>90.2</v>
      </c>
      <c r="J16" s="1595">
        <v>44</v>
      </c>
      <c r="K16" s="1584">
        <v>1138.1199999999999</v>
      </c>
      <c r="L16" s="1585">
        <v>3968.89</v>
      </c>
    </row>
    <row r="17" spans="1:12" s="715" customFormat="1" ht="15" customHeight="1" thickBot="1">
      <c r="A17" s="703"/>
      <c r="B17" s="732" t="s">
        <v>2975</v>
      </c>
      <c r="C17" s="1700"/>
      <c r="D17" s="733" t="s">
        <v>2976</v>
      </c>
      <c r="E17" s="1700"/>
      <c r="F17" s="707">
        <v>3.1597222222222219</v>
      </c>
      <c r="G17" s="1690"/>
      <c r="H17" s="1692"/>
      <c r="I17" s="1694"/>
      <c r="J17" s="1690"/>
      <c r="K17" s="1692"/>
      <c r="L17" s="1694"/>
    </row>
    <row r="18" spans="1:12" s="715" customFormat="1" ht="15" customHeight="1" thickBot="1">
      <c r="A18" s="703"/>
      <c r="B18" s="736"/>
      <c r="C18" s="713"/>
      <c r="D18" s="692"/>
      <c r="E18" s="713"/>
      <c r="F18" s="713"/>
      <c r="H18" s="728"/>
      <c r="I18" s="728"/>
      <c r="J18" s="713"/>
      <c r="K18" s="728"/>
      <c r="L18" s="728"/>
    </row>
    <row r="19" spans="1:12" ht="29.1" customHeight="1" thickBot="1">
      <c r="A19" s="737"/>
      <c r="B19" s="729" t="s">
        <v>2977</v>
      </c>
      <c r="G19" s="1598" t="s">
        <v>101</v>
      </c>
      <c r="H19" s="1675"/>
      <c r="I19" s="1675"/>
      <c r="J19" s="1593" t="s">
        <v>102</v>
      </c>
      <c r="K19" s="1675"/>
      <c r="L19" s="1676"/>
    </row>
    <row r="20" spans="1:12" ht="15" customHeight="1" thickBot="1">
      <c r="B20" s="694" t="s">
        <v>103</v>
      </c>
      <c r="C20" s="717" t="s">
        <v>104</v>
      </c>
      <c r="D20" s="695" t="s">
        <v>105</v>
      </c>
      <c r="E20" s="718" t="s">
        <v>106</v>
      </c>
      <c r="F20" s="718" t="s">
        <v>107</v>
      </c>
      <c r="G20" s="700" t="s">
        <v>108</v>
      </c>
      <c r="H20" s="701" t="s">
        <v>109</v>
      </c>
      <c r="I20" s="702" t="s">
        <v>110</v>
      </c>
      <c r="J20" s="700" t="s">
        <v>111</v>
      </c>
      <c r="K20" s="701" t="s">
        <v>109</v>
      </c>
      <c r="L20" s="702" t="s">
        <v>110</v>
      </c>
    </row>
    <row r="21" spans="1:12" ht="15" customHeight="1" thickBot="1">
      <c r="A21" s="703" t="s">
        <v>112</v>
      </c>
      <c r="B21" s="738" t="s">
        <v>2978</v>
      </c>
      <c r="C21" s="706" t="s">
        <v>268</v>
      </c>
      <c r="D21" s="704" t="s">
        <v>2979</v>
      </c>
      <c r="E21" s="706" t="s">
        <v>109</v>
      </c>
      <c r="F21" s="707">
        <v>4.7222222222222232</v>
      </c>
      <c r="G21" s="708">
        <v>2</v>
      </c>
      <c r="H21" s="709">
        <v>30.68</v>
      </c>
      <c r="I21" s="739">
        <v>108.31</v>
      </c>
      <c r="J21" s="708">
        <v>32</v>
      </c>
      <c r="K21" s="709">
        <v>983.75</v>
      </c>
      <c r="L21" s="740">
        <v>3466.04</v>
      </c>
    </row>
    <row r="22" spans="1:12" s="715" customFormat="1" ht="15" customHeight="1" thickBot="1">
      <c r="A22" s="703"/>
      <c r="B22" s="736"/>
      <c r="C22" s="713"/>
      <c r="D22" s="692"/>
      <c r="E22" s="713"/>
      <c r="F22" s="713"/>
      <c r="H22" s="728"/>
      <c r="I22" s="728"/>
      <c r="J22" s="713"/>
      <c r="K22" s="728"/>
      <c r="L22" s="728"/>
    </row>
    <row r="23" spans="1:12" ht="32.1" customHeight="1" thickBot="1">
      <c r="A23" s="737"/>
      <c r="B23" s="691" t="s">
        <v>2980</v>
      </c>
      <c r="G23" s="1598" t="s">
        <v>101</v>
      </c>
      <c r="H23" s="1675"/>
      <c r="I23" s="1675"/>
      <c r="J23" s="1593" t="s">
        <v>102</v>
      </c>
      <c r="K23" s="1675"/>
      <c r="L23" s="1676"/>
    </row>
    <row r="24" spans="1:12" ht="15" customHeight="1" thickBot="1">
      <c r="B24" s="694" t="s">
        <v>103</v>
      </c>
      <c r="C24" s="717" t="s">
        <v>104</v>
      </c>
      <c r="D24" s="695" t="s">
        <v>105</v>
      </c>
      <c r="E24" s="718" t="s">
        <v>106</v>
      </c>
      <c r="F24" s="718" t="s">
        <v>107</v>
      </c>
      <c r="G24" s="700" t="s">
        <v>108</v>
      </c>
      <c r="H24" s="701" t="s">
        <v>109</v>
      </c>
      <c r="I24" s="702" t="s">
        <v>110</v>
      </c>
      <c r="J24" s="700" t="s">
        <v>111</v>
      </c>
      <c r="K24" s="701" t="s">
        <v>109</v>
      </c>
      <c r="L24" s="702" t="s">
        <v>110</v>
      </c>
    </row>
    <row r="25" spans="1:12" ht="15" customHeight="1" thickBot="1">
      <c r="A25" s="703" t="s">
        <v>112</v>
      </c>
      <c r="B25" s="738" t="s">
        <v>2981</v>
      </c>
      <c r="C25" s="706" t="s">
        <v>152</v>
      </c>
      <c r="D25" s="704" t="s">
        <v>2982</v>
      </c>
      <c r="E25" s="706" t="s">
        <v>109</v>
      </c>
      <c r="F25" s="707">
        <v>4.6875</v>
      </c>
      <c r="G25" s="708">
        <v>30</v>
      </c>
      <c r="H25" s="709">
        <v>12.92</v>
      </c>
      <c r="I25" s="739">
        <v>50</v>
      </c>
      <c r="J25" s="708">
        <v>60</v>
      </c>
      <c r="K25" s="709">
        <v>775.01</v>
      </c>
      <c r="L25" s="740">
        <v>3000</v>
      </c>
    </row>
    <row r="26" spans="1:12" ht="15" customHeight="1" thickBot="1">
      <c r="B26" s="736"/>
      <c r="C26" s="713"/>
      <c r="D26" s="692"/>
      <c r="E26" s="713"/>
      <c r="F26" s="713"/>
      <c r="G26" s="713"/>
      <c r="H26" s="728"/>
      <c r="I26" s="728"/>
      <c r="J26" s="713"/>
      <c r="K26" s="728"/>
      <c r="L26" s="728"/>
    </row>
    <row r="27" spans="1:12" ht="32.1" customHeight="1" thickBot="1">
      <c r="B27" s="691" t="s">
        <v>2983</v>
      </c>
      <c r="G27" s="1598" t="s">
        <v>101</v>
      </c>
      <c r="H27" s="1675"/>
      <c r="I27" s="1675"/>
      <c r="J27" s="1593" t="s">
        <v>102</v>
      </c>
      <c r="K27" s="1675"/>
      <c r="L27" s="1676"/>
    </row>
    <row r="28" spans="1:12" ht="15" customHeight="1" thickBot="1">
      <c r="A28" s="703"/>
      <c r="B28" s="717" t="s">
        <v>103</v>
      </c>
      <c r="C28" s="717" t="s">
        <v>104</v>
      </c>
      <c r="D28" s="730" t="s">
        <v>105</v>
      </c>
      <c r="E28" s="718" t="s">
        <v>106</v>
      </c>
      <c r="F28" s="718" t="s">
        <v>107</v>
      </c>
      <c r="G28" s="697" t="s">
        <v>108</v>
      </c>
      <c r="H28" s="698" t="s">
        <v>109</v>
      </c>
      <c r="I28" s="699" t="s">
        <v>110</v>
      </c>
      <c r="J28" s="741" t="s">
        <v>111</v>
      </c>
      <c r="K28" s="698" t="s">
        <v>109</v>
      </c>
      <c r="L28" s="699" t="s">
        <v>110</v>
      </c>
    </row>
    <row r="29" spans="1:12" ht="15" customHeight="1" thickBot="1">
      <c r="A29" s="703" t="s">
        <v>143</v>
      </c>
      <c r="B29" s="731" t="s">
        <v>2984</v>
      </c>
      <c r="C29" s="1623" t="s">
        <v>278</v>
      </c>
      <c r="D29" s="945" t="s">
        <v>2985</v>
      </c>
      <c r="E29" s="1617" t="s">
        <v>109</v>
      </c>
      <c r="F29" s="1592">
        <v>4.5138888888888893</v>
      </c>
      <c r="G29" s="1606">
        <v>5</v>
      </c>
      <c r="H29" s="1608">
        <v>14.5314</v>
      </c>
      <c r="I29" s="1599">
        <v>50.715000000000003</v>
      </c>
      <c r="J29" s="1606">
        <v>51</v>
      </c>
      <c r="K29" s="1608">
        <v>741.10140000000001</v>
      </c>
      <c r="L29" s="1599">
        <v>2586.4650000000001</v>
      </c>
    </row>
    <row r="30" spans="1:12" ht="16.350000000000001" customHeight="1" thickBot="1">
      <c r="A30" s="703"/>
      <c r="B30" s="742" t="s">
        <v>2986</v>
      </c>
      <c r="C30" s="1680"/>
      <c r="D30" s="946" t="s">
        <v>2987</v>
      </c>
      <c r="E30" s="1697"/>
      <c r="F30" s="1700"/>
      <c r="G30" s="1690"/>
      <c r="H30" s="1692"/>
      <c r="I30" s="1694"/>
      <c r="J30" s="1690"/>
      <c r="K30" s="1692"/>
      <c r="L30" s="1694"/>
    </row>
    <row r="31" spans="1:12" ht="15" customHeight="1" thickBot="1">
      <c r="A31" s="703"/>
      <c r="B31" s="947" t="s">
        <v>2988</v>
      </c>
      <c r="C31" s="1614" t="s">
        <v>377</v>
      </c>
      <c r="D31" s="945" t="s">
        <v>2989</v>
      </c>
      <c r="E31" s="1586" t="s">
        <v>109</v>
      </c>
      <c r="F31" s="1592">
        <v>3.1597222222222219</v>
      </c>
      <c r="G31" s="1628">
        <v>2</v>
      </c>
      <c r="H31" s="1608">
        <v>17.43768</v>
      </c>
      <c r="I31" s="1599">
        <v>70.56</v>
      </c>
      <c r="J31" s="1606">
        <v>32</v>
      </c>
      <c r="K31" s="1608">
        <v>558.00576000000001</v>
      </c>
      <c r="L31" s="1599">
        <v>2257.92</v>
      </c>
    </row>
    <row r="32" spans="1:12" ht="15" customHeight="1" thickBot="1">
      <c r="A32" s="703"/>
      <c r="B32" s="805" t="s">
        <v>2990</v>
      </c>
      <c r="C32" s="1680"/>
      <c r="D32" s="805" t="s">
        <v>2991</v>
      </c>
      <c r="E32" s="1677"/>
      <c r="F32" s="1697"/>
      <c r="G32" s="1698"/>
      <c r="H32" s="1687"/>
      <c r="I32" s="1689"/>
      <c r="J32" s="1686"/>
      <c r="K32" s="1687"/>
      <c r="L32" s="1689"/>
    </row>
    <row r="33" spans="1:12" ht="16.350000000000001" customHeight="1" thickBot="1">
      <c r="A33" s="703"/>
      <c r="B33" s="742" t="s">
        <v>2992</v>
      </c>
      <c r="C33" s="1681"/>
      <c r="D33" s="742" t="s">
        <v>2993</v>
      </c>
      <c r="E33" s="1679"/>
      <c r="F33" s="1700"/>
      <c r="G33" s="1750"/>
      <c r="H33" s="1692"/>
      <c r="I33" s="1694"/>
      <c r="J33" s="1690"/>
      <c r="K33" s="1692"/>
      <c r="L33" s="1694"/>
    </row>
    <row r="34" spans="1:12" ht="16.350000000000001" customHeight="1">
      <c r="A34" s="703"/>
      <c r="B34" s="692" t="s">
        <v>2971</v>
      </c>
      <c r="C34" s="948"/>
      <c r="D34" s="692"/>
      <c r="E34" s="948"/>
      <c r="F34" s="948"/>
      <c r="G34" s="743"/>
      <c r="H34" s="744"/>
      <c r="I34" s="744"/>
      <c r="J34" s="743"/>
      <c r="K34" s="744"/>
      <c r="L34" s="744"/>
    </row>
    <row r="35" spans="1:12" ht="15" customHeight="1" thickBot="1"/>
    <row r="36" spans="1:12" ht="32.1" customHeight="1" thickBot="1">
      <c r="B36" s="691" t="s">
        <v>2994</v>
      </c>
      <c r="D36" s="713"/>
      <c r="E36" s="713"/>
      <c r="F36" s="713"/>
      <c r="G36" s="1598" t="s">
        <v>101</v>
      </c>
      <c r="H36" s="1675"/>
      <c r="I36" s="1675"/>
      <c r="J36" s="1593" t="s">
        <v>102</v>
      </c>
      <c r="K36" s="1675"/>
      <c r="L36" s="1676"/>
    </row>
    <row r="37" spans="1:12" ht="15" customHeight="1" thickBot="1">
      <c r="B37" s="717" t="s">
        <v>103</v>
      </c>
      <c r="C37" s="717" t="s">
        <v>104</v>
      </c>
      <c r="D37" s="730" t="s">
        <v>105</v>
      </c>
      <c r="E37" s="718" t="s">
        <v>106</v>
      </c>
      <c r="F37" s="718" t="s">
        <v>107</v>
      </c>
      <c r="G37" s="697" t="s">
        <v>108</v>
      </c>
      <c r="H37" s="698" t="s">
        <v>109</v>
      </c>
      <c r="I37" s="699" t="s">
        <v>110</v>
      </c>
      <c r="J37" s="697" t="s">
        <v>111</v>
      </c>
      <c r="K37" s="698" t="s">
        <v>109</v>
      </c>
      <c r="L37" s="699" t="s">
        <v>110</v>
      </c>
    </row>
    <row r="38" spans="1:12" ht="15" customHeight="1" thickBot="1">
      <c r="A38" s="703" t="s">
        <v>112</v>
      </c>
      <c r="B38" s="949" t="s">
        <v>2995</v>
      </c>
      <c r="C38" s="1586" t="s">
        <v>152</v>
      </c>
      <c r="D38" s="945" t="s">
        <v>2996</v>
      </c>
      <c r="E38" s="1615" t="s">
        <v>109</v>
      </c>
      <c r="F38" s="1592">
        <v>3.5763888888888888</v>
      </c>
      <c r="G38" s="1606">
        <v>26</v>
      </c>
      <c r="H38" s="1608">
        <v>11.194559999999999</v>
      </c>
      <c r="I38" s="1599">
        <v>44.1</v>
      </c>
      <c r="J38" s="1606">
        <v>72</v>
      </c>
      <c r="K38" s="1608">
        <v>806.00831999999991</v>
      </c>
      <c r="L38" s="1599">
        <v>3175.2</v>
      </c>
    </row>
    <row r="39" spans="1:12" ht="16.350000000000001" customHeight="1" thickBot="1">
      <c r="B39" s="950" t="s">
        <v>2997</v>
      </c>
      <c r="C39" s="1677"/>
      <c r="D39" s="951" t="s">
        <v>2998</v>
      </c>
      <c r="E39" s="1697"/>
      <c r="F39" s="1697"/>
      <c r="G39" s="1686"/>
      <c r="H39" s="1687"/>
      <c r="I39" s="1689"/>
      <c r="J39" s="1686"/>
      <c r="K39" s="1687"/>
      <c r="L39" s="1689"/>
    </row>
    <row r="40" spans="1:12" ht="16.350000000000001" customHeight="1" thickBot="1">
      <c r="B40" s="950" t="s">
        <v>2999</v>
      </c>
      <c r="C40" s="1677"/>
      <c r="D40" s="951" t="s">
        <v>3000</v>
      </c>
      <c r="E40" s="1697"/>
      <c r="F40" s="1697"/>
      <c r="G40" s="1686"/>
      <c r="H40" s="1687"/>
      <c r="I40" s="1689"/>
      <c r="J40" s="1686"/>
      <c r="K40" s="1687"/>
      <c r="L40" s="1689"/>
    </row>
    <row r="41" spans="1:12" ht="16.350000000000001" customHeight="1" thickBot="1">
      <c r="B41" s="950" t="s">
        <v>3001</v>
      </c>
      <c r="C41" s="1677"/>
      <c r="D41" s="951" t="s">
        <v>3002</v>
      </c>
      <c r="E41" s="1697"/>
      <c r="F41" s="1697"/>
      <c r="G41" s="1686"/>
      <c r="H41" s="1687"/>
      <c r="I41" s="1689"/>
      <c r="J41" s="1686"/>
      <c r="K41" s="1687"/>
      <c r="L41" s="1689"/>
    </row>
    <row r="42" spans="1:12" ht="16.350000000000001" customHeight="1" thickBot="1">
      <c r="B42" s="950" t="s">
        <v>3003</v>
      </c>
      <c r="C42" s="1677"/>
      <c r="D42" s="951" t="s">
        <v>3004</v>
      </c>
      <c r="E42" s="1697"/>
      <c r="F42" s="1697"/>
      <c r="G42" s="1686"/>
      <c r="H42" s="1687"/>
      <c r="I42" s="1689"/>
      <c r="J42" s="1686"/>
      <c r="K42" s="1687"/>
      <c r="L42" s="1689"/>
    </row>
    <row r="43" spans="1:12" ht="15" customHeight="1" thickBot="1">
      <c r="A43" s="687"/>
      <c r="B43" s="805" t="s">
        <v>3005</v>
      </c>
      <c r="C43" s="1677"/>
      <c r="D43" s="805" t="s">
        <v>3006</v>
      </c>
      <c r="E43" s="1697"/>
      <c r="F43" s="1697"/>
      <c r="G43" s="1686"/>
      <c r="H43" s="1687"/>
      <c r="I43" s="1689"/>
      <c r="J43" s="1686"/>
      <c r="K43" s="1687"/>
      <c r="L43" s="1689"/>
    </row>
    <row r="44" spans="1:12" ht="15" customHeight="1" thickBot="1">
      <c r="B44" s="805" t="s">
        <v>3007</v>
      </c>
      <c r="C44" s="1677"/>
      <c r="D44" s="805" t="s">
        <v>3008</v>
      </c>
      <c r="E44" s="1697"/>
      <c r="F44" s="1697"/>
      <c r="G44" s="1686"/>
      <c r="H44" s="1687"/>
      <c r="I44" s="1689"/>
      <c r="J44" s="1686"/>
      <c r="K44" s="1687"/>
      <c r="L44" s="1689"/>
    </row>
    <row r="45" spans="1:12" ht="15" customHeight="1" thickBot="1">
      <c r="B45" s="805" t="s">
        <v>3009</v>
      </c>
      <c r="C45" s="1677"/>
      <c r="D45" s="805" t="s">
        <v>3010</v>
      </c>
      <c r="E45" s="1697"/>
      <c r="F45" s="1697"/>
      <c r="G45" s="1686"/>
      <c r="H45" s="1687"/>
      <c r="I45" s="1689"/>
      <c r="J45" s="1686"/>
      <c r="K45" s="1687"/>
      <c r="L45" s="1689"/>
    </row>
    <row r="46" spans="1:12" ht="16.350000000000001" customHeight="1" thickBot="1">
      <c r="B46" s="742" t="s">
        <v>3011</v>
      </c>
      <c r="C46" s="1679"/>
      <c r="D46" s="742" t="s">
        <v>3012</v>
      </c>
      <c r="E46" s="1700"/>
      <c r="F46" s="1700"/>
      <c r="G46" s="1690"/>
      <c r="H46" s="1692"/>
      <c r="I46" s="1694"/>
      <c r="J46" s="1690"/>
      <c r="K46" s="1692"/>
      <c r="L46" s="1694"/>
    </row>
    <row r="47" spans="1:12" ht="15" customHeight="1" thickBot="1">
      <c r="B47" s="692"/>
      <c r="C47" s="713"/>
      <c r="D47" s="692"/>
      <c r="E47" s="713"/>
      <c r="F47" s="713"/>
      <c r="G47" s="692"/>
      <c r="H47" s="713"/>
      <c r="I47" s="745"/>
      <c r="J47" s="692"/>
      <c r="K47" s="713"/>
      <c r="L47" s="745"/>
    </row>
    <row r="48" spans="1:12" ht="29.25" customHeight="1" thickBot="1">
      <c r="B48" s="691" t="s">
        <v>3013</v>
      </c>
      <c r="D48" s="692"/>
      <c r="G48" s="1611" t="s">
        <v>101</v>
      </c>
      <c r="H48" s="1716"/>
      <c r="I48" s="1716"/>
      <c r="J48" s="1593" t="s">
        <v>102</v>
      </c>
      <c r="K48" s="1675"/>
      <c r="L48" s="1676"/>
    </row>
    <row r="49" spans="1:12" ht="15" customHeight="1" thickBot="1">
      <c r="B49" s="746" t="s">
        <v>103</v>
      </c>
      <c r="C49" s="694" t="s">
        <v>104</v>
      </c>
      <c r="D49" s="730" t="s">
        <v>105</v>
      </c>
      <c r="E49" s="696" t="s">
        <v>106</v>
      </c>
      <c r="F49" s="718" t="s">
        <v>107</v>
      </c>
      <c r="G49" s="697" t="s">
        <v>108</v>
      </c>
      <c r="H49" s="698" t="s">
        <v>109</v>
      </c>
      <c r="I49" s="699" t="s">
        <v>110</v>
      </c>
      <c r="J49" s="700" t="s">
        <v>111</v>
      </c>
      <c r="K49" s="701" t="s">
        <v>109</v>
      </c>
      <c r="L49" s="702" t="s">
        <v>110</v>
      </c>
    </row>
    <row r="50" spans="1:12" ht="16.350000000000001" customHeight="1" thickBot="1">
      <c r="A50" s="685" t="s">
        <v>3014</v>
      </c>
      <c r="B50" s="949" t="s">
        <v>3015</v>
      </c>
      <c r="C50" s="1610" t="s">
        <v>119</v>
      </c>
      <c r="D50" s="945" t="s">
        <v>3016</v>
      </c>
      <c r="E50" s="1594" t="s">
        <v>109</v>
      </c>
      <c r="F50" s="1592">
        <v>4.5138888888888893</v>
      </c>
      <c r="G50" s="1606">
        <v>3</v>
      </c>
      <c r="H50" s="1608">
        <f>2.16*10.764</f>
        <v>23.250240000000002</v>
      </c>
      <c r="I50" s="1599">
        <f>36*2.205</f>
        <v>79.38</v>
      </c>
      <c r="J50" s="1606">
        <v>30</v>
      </c>
      <c r="K50" s="1608">
        <f>J50*H50</f>
        <v>697.50720000000001</v>
      </c>
      <c r="L50" s="1599">
        <f>J50*I50</f>
        <v>2381.3999999999996</v>
      </c>
    </row>
    <row r="51" spans="1:12" ht="15" customHeight="1" thickBot="1">
      <c r="A51" s="703"/>
      <c r="B51" s="952" t="s">
        <v>3017</v>
      </c>
      <c r="C51" s="1681"/>
      <c r="D51" s="952" t="s">
        <v>3018</v>
      </c>
      <c r="E51" s="1700"/>
      <c r="F51" s="1700"/>
      <c r="G51" s="1690"/>
      <c r="H51" s="1692"/>
      <c r="I51" s="1694"/>
      <c r="J51" s="1690"/>
      <c r="K51" s="1692"/>
      <c r="L51" s="1694"/>
    </row>
    <row r="52" spans="1:12" ht="15" customHeight="1" thickBot="1">
      <c r="B52" s="736"/>
      <c r="C52" s="713"/>
      <c r="D52" s="692"/>
      <c r="E52" s="713"/>
      <c r="F52" s="713"/>
      <c r="G52" s="713"/>
      <c r="H52" s="728"/>
      <c r="I52" s="728"/>
      <c r="J52" s="713"/>
      <c r="K52" s="728"/>
      <c r="L52" s="728"/>
    </row>
    <row r="53" spans="1:12" ht="32.1" customHeight="1" thickBot="1">
      <c r="A53" s="716"/>
      <c r="B53" s="691" t="s">
        <v>3019</v>
      </c>
      <c r="C53" s="748"/>
      <c r="G53" s="1598" t="s">
        <v>101</v>
      </c>
      <c r="H53" s="1675"/>
      <c r="I53" s="1675"/>
      <c r="J53" s="1593" t="s">
        <v>102</v>
      </c>
      <c r="K53" s="1675"/>
      <c r="L53" s="1676"/>
    </row>
    <row r="54" spans="1:12" ht="15" customHeight="1" thickBot="1">
      <c r="B54" s="717" t="s">
        <v>103</v>
      </c>
      <c r="C54" s="717" t="s">
        <v>104</v>
      </c>
      <c r="D54" s="730" t="s">
        <v>105</v>
      </c>
      <c r="E54" s="718" t="s">
        <v>106</v>
      </c>
      <c r="F54" s="718" t="s">
        <v>107</v>
      </c>
      <c r="G54" s="697" t="s">
        <v>108</v>
      </c>
      <c r="H54" s="698" t="s">
        <v>109</v>
      </c>
      <c r="I54" s="699" t="s">
        <v>110</v>
      </c>
      <c r="J54" s="697" t="s">
        <v>111</v>
      </c>
      <c r="K54" s="698" t="s">
        <v>109</v>
      </c>
      <c r="L54" s="699" t="s">
        <v>110</v>
      </c>
    </row>
    <row r="55" spans="1:12" ht="15" customHeight="1" thickBot="1">
      <c r="A55" s="703" t="s">
        <v>143</v>
      </c>
      <c r="B55" s="738" t="s">
        <v>3020</v>
      </c>
      <c r="C55" s="749" t="s">
        <v>3021</v>
      </c>
      <c r="D55" s="750" t="s">
        <v>3022</v>
      </c>
      <c r="E55" s="706" t="s">
        <v>109</v>
      </c>
      <c r="F55" s="707">
        <v>6.0763888888888893</v>
      </c>
      <c r="G55" s="708">
        <v>46</v>
      </c>
      <c r="H55" s="709">
        <v>10.98</v>
      </c>
      <c r="I55" s="710">
        <v>40.450000000000003</v>
      </c>
      <c r="J55" s="708">
        <v>62</v>
      </c>
      <c r="K55" s="709">
        <v>680.72</v>
      </c>
      <c r="L55" s="710">
        <v>2507.9</v>
      </c>
    </row>
    <row r="56" spans="1:12" s="715" customFormat="1" ht="15" customHeight="1">
      <c r="A56" s="703"/>
      <c r="B56" s="736"/>
      <c r="C56" s="713"/>
      <c r="D56" s="692"/>
      <c r="E56" s="713"/>
      <c r="F56" s="713"/>
      <c r="G56" s="713"/>
      <c r="H56" s="728"/>
      <c r="I56" s="728"/>
      <c r="J56" s="713"/>
      <c r="K56" s="728"/>
      <c r="L56" s="728"/>
    </row>
    <row r="57" spans="1:12" ht="15" customHeight="1" thickBot="1">
      <c r="B57" s="751"/>
    </row>
    <row r="58" spans="1:12" ht="32.1" customHeight="1" thickBot="1">
      <c r="B58" s="691" t="s">
        <v>3023</v>
      </c>
      <c r="D58" s="713"/>
      <c r="E58" s="713"/>
      <c r="F58" s="713"/>
      <c r="G58" s="1598" t="s">
        <v>101</v>
      </c>
      <c r="H58" s="1675"/>
      <c r="I58" s="1675"/>
      <c r="J58" s="1593" t="s">
        <v>102</v>
      </c>
      <c r="K58" s="1675"/>
      <c r="L58" s="1676"/>
    </row>
    <row r="59" spans="1:12" ht="15.75" customHeight="1" thickBot="1">
      <c r="B59" s="694" t="s">
        <v>103</v>
      </c>
      <c r="C59" s="694" t="s">
        <v>104</v>
      </c>
      <c r="D59" s="695" t="s">
        <v>105</v>
      </c>
      <c r="E59" s="696" t="s">
        <v>106</v>
      </c>
      <c r="F59" s="718" t="s">
        <v>107</v>
      </c>
      <c r="G59" s="700" t="s">
        <v>108</v>
      </c>
      <c r="H59" s="701" t="s">
        <v>109</v>
      </c>
      <c r="I59" s="702" t="s">
        <v>110</v>
      </c>
      <c r="J59" s="700" t="s">
        <v>111</v>
      </c>
      <c r="K59" s="701" t="s">
        <v>109</v>
      </c>
      <c r="L59" s="702" t="s">
        <v>110</v>
      </c>
    </row>
    <row r="60" spans="1:12" ht="15" customHeight="1">
      <c r="A60" s="685" t="s">
        <v>112</v>
      </c>
      <c r="B60" s="721" t="s">
        <v>3024</v>
      </c>
      <c r="C60" s="1594" t="s">
        <v>3025</v>
      </c>
      <c r="D60" s="721" t="s">
        <v>3026</v>
      </c>
      <c r="E60" s="1594" t="s">
        <v>109</v>
      </c>
      <c r="F60" s="1592">
        <v>4.7569444444444438</v>
      </c>
      <c r="G60" s="1606">
        <v>10</v>
      </c>
      <c r="H60" s="1608">
        <f>0.34*10.764</f>
        <v>3.6597599999999999</v>
      </c>
      <c r="I60" s="1599">
        <f>7*2.205</f>
        <v>15.435</v>
      </c>
      <c r="J60" s="1606">
        <v>120</v>
      </c>
      <c r="K60" s="1608">
        <f>J60*H60</f>
        <v>439.1712</v>
      </c>
      <c r="L60" s="1599">
        <f>J60*I60</f>
        <v>1852.2</v>
      </c>
    </row>
    <row r="61" spans="1:12" ht="15" customHeight="1" thickBot="1">
      <c r="B61" s="725" t="s">
        <v>3027</v>
      </c>
      <c r="C61" s="1700"/>
      <c r="D61" s="725" t="s">
        <v>3028</v>
      </c>
      <c r="E61" s="1700"/>
      <c r="F61" s="1700"/>
      <c r="G61" s="1690"/>
      <c r="H61" s="1692"/>
      <c r="I61" s="1694"/>
      <c r="J61" s="1690"/>
      <c r="K61" s="1692"/>
      <c r="L61" s="1694"/>
    </row>
    <row r="62" spans="1:12" ht="15" customHeight="1" thickBot="1">
      <c r="B62" s="751"/>
    </row>
    <row r="63" spans="1:12" ht="32.1" customHeight="1" thickBot="1">
      <c r="B63" s="691" t="s">
        <v>3029</v>
      </c>
      <c r="D63" s="713"/>
      <c r="E63" s="713"/>
      <c r="F63" s="713"/>
      <c r="G63" s="1598" t="s">
        <v>101</v>
      </c>
      <c r="H63" s="1675"/>
      <c r="I63" s="1675"/>
      <c r="J63" s="1593" t="s">
        <v>102</v>
      </c>
      <c r="K63" s="1675"/>
      <c r="L63" s="1676"/>
    </row>
    <row r="64" spans="1:12" ht="15.75" customHeight="1" thickBot="1">
      <c r="B64" s="717" t="s">
        <v>103</v>
      </c>
      <c r="C64" s="717" t="s">
        <v>104</v>
      </c>
      <c r="D64" s="730" t="s">
        <v>105</v>
      </c>
      <c r="E64" s="718" t="s">
        <v>106</v>
      </c>
      <c r="F64" s="718" t="s">
        <v>107</v>
      </c>
      <c r="G64" s="697" t="s">
        <v>108</v>
      </c>
      <c r="H64" s="698" t="s">
        <v>109</v>
      </c>
      <c r="I64" s="699" t="s">
        <v>110</v>
      </c>
      <c r="J64" s="697" t="s">
        <v>111</v>
      </c>
      <c r="K64" s="698" t="s">
        <v>109</v>
      </c>
      <c r="L64" s="699" t="s">
        <v>110</v>
      </c>
    </row>
    <row r="65" spans="1:12" ht="15" customHeight="1" thickBot="1">
      <c r="A65" s="685" t="s">
        <v>112</v>
      </c>
      <c r="B65" s="752" t="s">
        <v>3030</v>
      </c>
      <c r="C65" s="753" t="s">
        <v>250</v>
      </c>
      <c r="D65" s="754" t="s">
        <v>3031</v>
      </c>
      <c r="E65" s="753" t="s">
        <v>108</v>
      </c>
      <c r="F65" s="707">
        <v>4.270833333333333</v>
      </c>
      <c r="G65" s="705">
        <v>12</v>
      </c>
      <c r="H65" s="755">
        <v>11.94</v>
      </c>
      <c r="I65" s="756">
        <v>29.11</v>
      </c>
      <c r="J65" s="757">
        <v>90</v>
      </c>
      <c r="K65" s="756">
        <f>J65*H65</f>
        <v>1074.5999999999999</v>
      </c>
      <c r="L65" s="758">
        <f>J65*I65</f>
        <v>2619.9</v>
      </c>
    </row>
    <row r="66" spans="1:12" ht="15" customHeight="1" thickBot="1">
      <c r="B66" s="751"/>
    </row>
    <row r="67" spans="1:12" ht="32.1" customHeight="1" thickBot="1">
      <c r="B67" s="691" t="s">
        <v>3032</v>
      </c>
      <c r="D67" s="713"/>
      <c r="E67" s="713"/>
      <c r="F67" s="713"/>
      <c r="G67" s="1598" t="s">
        <v>101</v>
      </c>
      <c r="H67" s="1675"/>
      <c r="I67" s="1675"/>
      <c r="J67" s="1593" t="s">
        <v>102</v>
      </c>
      <c r="K67" s="1675"/>
      <c r="L67" s="1676"/>
    </row>
    <row r="68" spans="1:12" ht="15.75" customHeight="1" thickBot="1">
      <c r="B68" s="694" t="s">
        <v>103</v>
      </c>
      <c r="C68" s="694" t="s">
        <v>104</v>
      </c>
      <c r="D68" s="695" t="s">
        <v>105</v>
      </c>
      <c r="E68" s="696" t="s">
        <v>106</v>
      </c>
      <c r="F68" s="718" t="s">
        <v>107</v>
      </c>
      <c r="G68" s="700" t="s">
        <v>108</v>
      </c>
      <c r="H68" s="701" t="s">
        <v>109</v>
      </c>
      <c r="I68" s="702" t="s">
        <v>110</v>
      </c>
      <c r="J68" s="700" t="s">
        <v>111</v>
      </c>
      <c r="K68" s="701" t="s">
        <v>109</v>
      </c>
      <c r="L68" s="702" t="s">
        <v>110</v>
      </c>
    </row>
    <row r="69" spans="1:12" ht="15" customHeight="1" thickBot="1">
      <c r="A69" s="685" t="s">
        <v>112</v>
      </c>
      <c r="B69" s="721" t="s">
        <v>3033</v>
      </c>
      <c r="C69" s="1594" t="s">
        <v>268</v>
      </c>
      <c r="D69" s="721" t="s">
        <v>3034</v>
      </c>
      <c r="E69" s="1594" t="s">
        <v>109</v>
      </c>
      <c r="F69" s="1592">
        <v>4.7222222222222232</v>
      </c>
      <c r="G69" s="1606">
        <v>2</v>
      </c>
      <c r="H69" s="1608">
        <v>30.68</v>
      </c>
      <c r="I69" s="1585">
        <v>112.88</v>
      </c>
      <c r="J69" s="1606">
        <v>32</v>
      </c>
      <c r="K69" s="1608">
        <v>981.68</v>
      </c>
      <c r="L69" s="1585">
        <v>3612.16</v>
      </c>
    </row>
    <row r="70" spans="1:12" ht="15" customHeight="1" thickBot="1">
      <c r="B70" s="725" t="s">
        <v>3035</v>
      </c>
      <c r="C70" s="1700"/>
      <c r="D70" s="725" t="s">
        <v>3036</v>
      </c>
      <c r="E70" s="1700"/>
      <c r="F70" s="1700"/>
      <c r="G70" s="1690"/>
      <c r="H70" s="1692"/>
      <c r="I70" s="1694"/>
      <c r="J70" s="1690"/>
      <c r="K70" s="1692"/>
      <c r="L70" s="1694"/>
    </row>
    <row r="71" spans="1:12" ht="15" customHeight="1" thickBot="1">
      <c r="B71" s="736"/>
      <c r="C71" s="713"/>
      <c r="D71" s="692"/>
      <c r="E71" s="713"/>
      <c r="F71" s="713"/>
      <c r="G71" s="713"/>
      <c r="H71" s="728"/>
      <c r="I71" s="728"/>
      <c r="J71" s="713"/>
      <c r="K71" s="728"/>
      <c r="L71" s="728"/>
    </row>
    <row r="72" spans="1:12" ht="32.1" customHeight="1" thickBot="1">
      <c r="B72" s="691" t="s">
        <v>3037</v>
      </c>
      <c r="G72" s="1598" t="s">
        <v>101</v>
      </c>
      <c r="H72" s="1675"/>
      <c r="I72" s="1675"/>
      <c r="J72" s="1593" t="s">
        <v>102</v>
      </c>
      <c r="K72" s="1675"/>
      <c r="L72" s="1676"/>
    </row>
    <row r="73" spans="1:12" ht="15" customHeight="1" thickBot="1">
      <c r="A73" s="703"/>
      <c r="B73" s="717" t="s">
        <v>103</v>
      </c>
      <c r="C73" s="717" t="s">
        <v>104</v>
      </c>
      <c r="D73" s="730" t="s">
        <v>105</v>
      </c>
      <c r="E73" s="718" t="s">
        <v>106</v>
      </c>
      <c r="F73" s="718" t="s">
        <v>107</v>
      </c>
      <c r="G73" s="697" t="s">
        <v>108</v>
      </c>
      <c r="H73" s="698" t="s">
        <v>109</v>
      </c>
      <c r="I73" s="699" t="s">
        <v>110</v>
      </c>
      <c r="J73" s="741" t="s">
        <v>111</v>
      </c>
      <c r="K73" s="698" t="s">
        <v>109</v>
      </c>
      <c r="L73" s="699" t="s">
        <v>110</v>
      </c>
    </row>
    <row r="74" spans="1:12" ht="15" customHeight="1" thickBot="1">
      <c r="A74" s="703" t="s">
        <v>143</v>
      </c>
      <c r="B74" s="719" t="s">
        <v>3038</v>
      </c>
      <c r="C74" s="1594" t="s">
        <v>3039</v>
      </c>
      <c r="D74" s="719" t="s">
        <v>3040</v>
      </c>
      <c r="E74" s="1594" t="s">
        <v>109</v>
      </c>
      <c r="F74" s="1592">
        <v>8.3333333333333339</v>
      </c>
      <c r="G74" s="1595">
        <v>18</v>
      </c>
      <c r="H74" s="1584">
        <v>4.63</v>
      </c>
      <c r="I74" s="1585">
        <v>18.809999999999999</v>
      </c>
      <c r="J74" s="1595">
        <v>85</v>
      </c>
      <c r="K74" s="1584">
        <v>390.3</v>
      </c>
      <c r="L74" s="1585">
        <v>1598.85</v>
      </c>
    </row>
    <row r="75" spans="1:12" ht="16.350000000000001" customHeight="1" thickBot="1">
      <c r="A75" s="703"/>
      <c r="B75" s="721" t="s">
        <v>3041</v>
      </c>
      <c r="C75" s="1697"/>
      <c r="D75" s="721" t="s">
        <v>3042</v>
      </c>
      <c r="E75" s="1697"/>
      <c r="F75" s="1697"/>
      <c r="G75" s="1686"/>
      <c r="H75" s="1687"/>
      <c r="I75" s="1689"/>
      <c r="J75" s="1686"/>
      <c r="K75" s="1687"/>
      <c r="L75" s="1689"/>
    </row>
    <row r="76" spans="1:12" ht="16.350000000000001" customHeight="1" thickBot="1">
      <c r="A76" s="703"/>
      <c r="B76" s="733" t="s">
        <v>3043</v>
      </c>
      <c r="C76" s="1700"/>
      <c r="D76" s="733" t="s">
        <v>3044</v>
      </c>
      <c r="E76" s="1700"/>
      <c r="F76" s="1700"/>
      <c r="G76" s="1690"/>
      <c r="H76" s="1692"/>
      <c r="I76" s="1694"/>
      <c r="J76" s="1690"/>
      <c r="K76" s="1692"/>
      <c r="L76" s="1694"/>
    </row>
    <row r="77" spans="1:12">
      <c r="A77" s="703"/>
      <c r="B77" s="692"/>
      <c r="C77" s="713"/>
      <c r="D77" s="692"/>
      <c r="E77" s="713"/>
      <c r="F77" s="713"/>
      <c r="G77" s="713"/>
      <c r="H77" s="728"/>
      <c r="I77" s="728"/>
      <c r="J77" s="713"/>
      <c r="K77" s="728"/>
      <c r="L77" s="728"/>
    </row>
    <row r="78" spans="1:12" ht="15" customHeight="1" thickBot="1">
      <c r="A78" s="703"/>
      <c r="B78" s="692"/>
      <c r="C78" s="713"/>
      <c r="D78" s="692"/>
      <c r="E78" s="713"/>
      <c r="F78" s="713"/>
      <c r="G78" s="713"/>
      <c r="H78" s="728"/>
      <c r="I78" s="728"/>
      <c r="J78" s="713"/>
      <c r="K78" s="728"/>
      <c r="L78" s="728"/>
    </row>
    <row r="79" spans="1:12" ht="33" customHeight="1" thickBot="1">
      <c r="A79" s="759" t="s">
        <v>3045</v>
      </c>
      <c r="B79" s="760" t="s">
        <v>3046</v>
      </c>
      <c r="C79" s="761"/>
      <c r="D79" s="759" t="s">
        <v>3045</v>
      </c>
      <c r="E79" s="299" t="s">
        <v>3045</v>
      </c>
      <c r="F79" s="299"/>
      <c r="G79" s="1598" t="s">
        <v>101</v>
      </c>
      <c r="H79" s="1675"/>
      <c r="I79" s="1675"/>
      <c r="J79" s="1593" t="s">
        <v>102</v>
      </c>
      <c r="K79" s="1675"/>
      <c r="L79" s="1676"/>
    </row>
    <row r="80" spans="1:12" ht="15" customHeight="1" thickBot="1">
      <c r="A80" s="759" t="s">
        <v>3045</v>
      </c>
      <c r="B80" s="762" t="s">
        <v>103</v>
      </c>
      <c r="C80" s="763" t="s">
        <v>104</v>
      </c>
      <c r="D80" s="763" t="s">
        <v>105</v>
      </c>
      <c r="E80" s="763" t="s">
        <v>106</v>
      </c>
      <c r="F80" s="718" t="s">
        <v>107</v>
      </c>
      <c r="G80" s="697" t="s">
        <v>108</v>
      </c>
      <c r="H80" s="698" t="s">
        <v>109</v>
      </c>
      <c r="I80" s="699" t="s">
        <v>110</v>
      </c>
      <c r="J80" s="741" t="s">
        <v>111</v>
      </c>
      <c r="K80" s="698" t="s">
        <v>109</v>
      </c>
      <c r="L80" s="699" t="s">
        <v>110</v>
      </c>
    </row>
    <row r="81" spans="1:12" ht="15" customHeight="1" thickBot="1">
      <c r="A81" s="764" t="s">
        <v>112</v>
      </c>
      <c r="B81" s="298" t="s">
        <v>3047</v>
      </c>
      <c r="C81" s="1612" t="s">
        <v>259</v>
      </c>
      <c r="D81" s="765" t="s">
        <v>3048</v>
      </c>
      <c r="E81" s="1612" t="s">
        <v>109</v>
      </c>
      <c r="F81" s="1592">
        <v>2.951388888888888</v>
      </c>
      <c r="G81" s="1305">
        <v>3</v>
      </c>
      <c r="H81" s="1616">
        <f>K81/J81</f>
        <v>11.620749999999999</v>
      </c>
      <c r="I81" s="1182">
        <v>52.36</v>
      </c>
      <c r="J81" s="1654">
        <v>40</v>
      </c>
      <c r="K81" s="1627">
        <v>464.83</v>
      </c>
      <c r="L81" s="1626">
        <v>2094</v>
      </c>
    </row>
    <row r="82" spans="1:12" ht="16.350000000000001" customHeight="1" thickBot="1">
      <c r="A82" s="759" t="s">
        <v>3045</v>
      </c>
      <c r="B82" s="298" t="s">
        <v>3049</v>
      </c>
      <c r="C82" s="1730"/>
      <c r="D82" s="765" t="s">
        <v>3050</v>
      </c>
      <c r="E82" s="1730"/>
      <c r="F82" s="1697"/>
      <c r="G82" s="1711"/>
      <c r="H82" s="1687"/>
      <c r="I82" s="1713"/>
      <c r="J82" s="1711"/>
      <c r="K82" s="1722"/>
      <c r="L82" s="1713"/>
    </row>
    <row r="83" spans="1:12" ht="16.350000000000001" customHeight="1" thickBot="1">
      <c r="A83" s="759" t="s">
        <v>3045</v>
      </c>
      <c r="B83" s="291" t="s">
        <v>3051</v>
      </c>
      <c r="C83" s="1751"/>
      <c r="D83" s="766" t="s">
        <v>3052</v>
      </c>
      <c r="E83" s="1751"/>
      <c r="F83" s="1700"/>
      <c r="G83" s="1711"/>
      <c r="H83" s="1687"/>
      <c r="I83" s="1713"/>
      <c r="J83" s="1752"/>
      <c r="K83" s="1753"/>
      <c r="L83" s="1754"/>
    </row>
    <row r="84" spans="1:12">
      <c r="A84" s="759" t="s">
        <v>3045</v>
      </c>
      <c r="B84" s="298" t="s">
        <v>3053</v>
      </c>
      <c r="C84" s="1612" t="s">
        <v>119</v>
      </c>
      <c r="D84" s="765" t="s">
        <v>3054</v>
      </c>
      <c r="E84" s="1612" t="s">
        <v>109</v>
      </c>
      <c r="F84" s="1592">
        <v>3.4375</v>
      </c>
      <c r="G84" s="1216">
        <v>2</v>
      </c>
      <c r="H84" s="1619">
        <f>K84/J84</f>
        <v>15.494333333333334</v>
      </c>
      <c r="I84" s="1145">
        <v>61.73</v>
      </c>
      <c r="J84" s="1621">
        <v>30</v>
      </c>
      <c r="K84" s="1620">
        <v>464.83</v>
      </c>
      <c r="L84" s="1624">
        <v>1852</v>
      </c>
    </row>
    <row r="85" spans="1:12" ht="15" customHeight="1">
      <c r="A85" s="759" t="s">
        <v>3045</v>
      </c>
      <c r="B85" s="298" t="s">
        <v>3055</v>
      </c>
      <c r="C85" s="1730"/>
      <c r="D85" s="765" t="s">
        <v>3056</v>
      </c>
      <c r="E85" s="1730"/>
      <c r="F85" s="1697"/>
      <c r="G85" s="1711"/>
      <c r="H85" s="1687"/>
      <c r="I85" s="1713"/>
      <c r="J85" s="1711"/>
      <c r="K85" s="1722"/>
      <c r="L85" s="1713"/>
    </row>
    <row r="86" spans="1:12" ht="16.350000000000001" customHeight="1" thickBot="1">
      <c r="A86" s="759" t="s">
        <v>3045</v>
      </c>
      <c r="B86" s="291" t="s">
        <v>3057</v>
      </c>
      <c r="C86" s="1751"/>
      <c r="D86" s="766" t="s">
        <v>3058</v>
      </c>
      <c r="E86" s="1751"/>
      <c r="F86" s="1700"/>
      <c r="G86" s="1712"/>
      <c r="H86" s="1692"/>
      <c r="I86" s="1715"/>
      <c r="J86" s="1752"/>
      <c r="K86" s="1753"/>
      <c r="L86" s="1754"/>
    </row>
    <row r="87" spans="1:12">
      <c r="A87" s="759" t="s">
        <v>3045</v>
      </c>
      <c r="B87" s="298" t="s">
        <v>3059</v>
      </c>
      <c r="C87" s="1612" t="s">
        <v>3060</v>
      </c>
      <c r="D87" s="765" t="s">
        <v>3061</v>
      </c>
      <c r="E87" s="1612" t="s">
        <v>109</v>
      </c>
      <c r="F87" s="1592">
        <v>3.8194444444444442</v>
      </c>
      <c r="G87" s="1216">
        <v>3</v>
      </c>
      <c r="H87" s="1619">
        <f>K87/J87</f>
        <v>16.14</v>
      </c>
      <c r="I87" s="1145">
        <v>71.34</v>
      </c>
      <c r="J87" s="1621">
        <v>36</v>
      </c>
      <c r="K87" s="1620">
        <v>581.04</v>
      </c>
      <c r="L87" s="1624">
        <f>I87*J87</f>
        <v>2568.2400000000002</v>
      </c>
    </row>
    <row r="88" spans="1:12" ht="15" customHeight="1">
      <c r="A88" s="759" t="s">
        <v>3045</v>
      </c>
      <c r="B88" s="298" t="s">
        <v>3062</v>
      </c>
      <c r="C88" s="1730"/>
      <c r="D88" s="765" t="s">
        <v>3063</v>
      </c>
      <c r="E88" s="1730"/>
      <c r="F88" s="1697"/>
      <c r="G88" s="1711"/>
      <c r="H88" s="1687"/>
      <c r="I88" s="1713"/>
      <c r="J88" s="1711"/>
      <c r="K88" s="1722"/>
      <c r="L88" s="1713"/>
    </row>
    <row r="89" spans="1:12" ht="16.350000000000001" customHeight="1" thickBot="1">
      <c r="A89" s="759" t="s">
        <v>3045</v>
      </c>
      <c r="B89" s="291" t="s">
        <v>3064</v>
      </c>
      <c r="C89" s="1751"/>
      <c r="D89" s="766" t="s">
        <v>3065</v>
      </c>
      <c r="E89" s="1751"/>
      <c r="F89" s="1700"/>
      <c r="G89" s="1712"/>
      <c r="H89" s="1692"/>
      <c r="I89" s="1715"/>
      <c r="J89" s="1752"/>
      <c r="K89" s="1753"/>
      <c r="L89" s="1754"/>
    </row>
    <row r="90" spans="1:12">
      <c r="A90" s="759" t="s">
        <v>3045</v>
      </c>
      <c r="B90" s="298" t="s">
        <v>3066</v>
      </c>
      <c r="C90" s="1612" t="s">
        <v>3067</v>
      </c>
      <c r="D90" s="765" t="s">
        <v>3068</v>
      </c>
      <c r="E90" s="1612" t="s">
        <v>109</v>
      </c>
      <c r="F90" s="1592">
        <v>4.5138888888888893</v>
      </c>
      <c r="G90" s="1216">
        <v>2</v>
      </c>
      <c r="H90" s="1619">
        <f>K90/J90</f>
        <v>21.52</v>
      </c>
      <c r="I90" s="1145">
        <v>105.82</v>
      </c>
      <c r="J90" s="1621">
        <v>24</v>
      </c>
      <c r="K90" s="1620">
        <v>516.48</v>
      </c>
      <c r="L90" s="1624">
        <f>I90*J90</f>
        <v>2539.6799999999998</v>
      </c>
    </row>
    <row r="91" spans="1:12" ht="15" customHeight="1">
      <c r="A91" s="759" t="s">
        <v>3045</v>
      </c>
      <c r="B91" s="298" t="s">
        <v>3069</v>
      </c>
      <c r="C91" s="1730"/>
      <c r="D91" s="765" t="s">
        <v>3070</v>
      </c>
      <c r="E91" s="1730"/>
      <c r="F91" s="1697"/>
      <c r="G91" s="1711"/>
      <c r="H91" s="1687"/>
      <c r="I91" s="1713"/>
      <c r="J91" s="1711"/>
      <c r="K91" s="1722"/>
      <c r="L91" s="1713"/>
    </row>
    <row r="92" spans="1:12" ht="16.350000000000001" customHeight="1" thickBot="1">
      <c r="A92" s="759" t="s">
        <v>3045</v>
      </c>
      <c r="B92" s="291" t="s">
        <v>3071</v>
      </c>
      <c r="C92" s="1751"/>
      <c r="D92" s="766" t="s">
        <v>3072</v>
      </c>
      <c r="E92" s="1751"/>
      <c r="F92" s="1700"/>
      <c r="G92" s="1712"/>
      <c r="H92" s="1692"/>
      <c r="I92" s="1715"/>
      <c r="J92" s="1752"/>
      <c r="K92" s="1753"/>
      <c r="L92" s="1754"/>
    </row>
    <row r="93" spans="1:12" ht="15" customHeight="1" thickBot="1">
      <c r="A93" s="767"/>
      <c r="B93" s="768"/>
      <c r="C93" s="768"/>
      <c r="D93" s="768"/>
      <c r="E93" s="768"/>
      <c r="F93" s="768"/>
      <c r="G93" s="299"/>
      <c r="H93" s="299"/>
      <c r="I93" s="299"/>
      <c r="J93" s="299"/>
      <c r="K93" s="299"/>
      <c r="L93" s="745"/>
    </row>
    <row r="94" spans="1:12" ht="29.25" customHeight="1" thickBot="1">
      <c r="B94" s="691" t="s">
        <v>3073</v>
      </c>
      <c r="D94" s="692"/>
      <c r="G94" s="1593" t="s">
        <v>101</v>
      </c>
      <c r="H94" s="1675"/>
      <c r="I94" s="1676"/>
      <c r="J94" s="1593" t="s">
        <v>102</v>
      </c>
      <c r="K94" s="1675"/>
      <c r="L94" s="1676"/>
    </row>
    <row r="95" spans="1:12" ht="15" customHeight="1" thickBot="1">
      <c r="B95" s="693" t="s">
        <v>103</v>
      </c>
      <c r="C95" s="694" t="s">
        <v>104</v>
      </c>
      <c r="D95" s="695" t="s">
        <v>105</v>
      </c>
      <c r="E95" s="696" t="s">
        <v>106</v>
      </c>
      <c r="F95" s="718" t="s">
        <v>107</v>
      </c>
      <c r="G95" s="697" t="s">
        <v>108</v>
      </c>
      <c r="H95" s="698" t="s">
        <v>109</v>
      </c>
      <c r="I95" s="699" t="s">
        <v>110</v>
      </c>
      <c r="J95" s="700" t="s">
        <v>111</v>
      </c>
      <c r="K95" s="701" t="s">
        <v>109</v>
      </c>
      <c r="L95" s="702" t="s">
        <v>110</v>
      </c>
    </row>
    <row r="96" spans="1:12" ht="15" customHeight="1" thickBot="1">
      <c r="A96" s="703" t="s">
        <v>3014</v>
      </c>
      <c r="B96" s="769" t="s">
        <v>3074</v>
      </c>
      <c r="C96" s="706" t="s">
        <v>3075</v>
      </c>
      <c r="D96" s="769" t="s">
        <v>3076</v>
      </c>
      <c r="E96" s="706" t="s">
        <v>109</v>
      </c>
      <c r="F96" s="707">
        <v>4.5138888888888893</v>
      </c>
      <c r="G96" s="884">
        <v>3</v>
      </c>
      <c r="H96" s="756">
        <f>2.16*10.764</f>
        <v>23.250240000000002</v>
      </c>
      <c r="I96" s="758">
        <f>36*2.205</f>
        <v>79.38</v>
      </c>
      <c r="J96" s="884">
        <v>30</v>
      </c>
      <c r="K96" s="756">
        <f>J96*H96</f>
        <v>697.50720000000001</v>
      </c>
      <c r="L96" s="758">
        <f>J96*I96</f>
        <v>2381.3999999999996</v>
      </c>
    </row>
    <row r="97" spans="1:12" ht="15" customHeight="1" thickBot="1">
      <c r="A97" s="703"/>
      <c r="B97" s="692"/>
      <c r="C97" s="713"/>
      <c r="D97" s="692"/>
      <c r="E97" s="713"/>
      <c r="F97" s="713"/>
      <c r="G97" s="713"/>
      <c r="H97" s="728"/>
      <c r="I97" s="728"/>
      <c r="J97" s="713"/>
      <c r="K97" s="728"/>
      <c r="L97" s="728"/>
    </row>
    <row r="98" spans="1:12" ht="32.1" customHeight="1" thickBot="1">
      <c r="B98" s="691" t="s">
        <v>3077</v>
      </c>
      <c r="G98" s="1598" t="s">
        <v>101</v>
      </c>
      <c r="H98" s="1675"/>
      <c r="I98" s="1675"/>
      <c r="J98" s="1593" t="s">
        <v>102</v>
      </c>
      <c r="K98" s="1675"/>
      <c r="L98" s="1676"/>
    </row>
    <row r="99" spans="1:12" ht="15" customHeight="1" thickBot="1">
      <c r="B99" s="717" t="s">
        <v>103</v>
      </c>
      <c r="C99" s="717" t="s">
        <v>104</v>
      </c>
      <c r="D99" s="730" t="s">
        <v>105</v>
      </c>
      <c r="E99" s="718" t="s">
        <v>106</v>
      </c>
      <c r="F99" s="718" t="s">
        <v>107</v>
      </c>
      <c r="G99" s="697" t="s">
        <v>108</v>
      </c>
      <c r="H99" s="698" t="s">
        <v>109</v>
      </c>
      <c r="I99" s="699" t="s">
        <v>110</v>
      </c>
      <c r="J99" s="697" t="s">
        <v>111</v>
      </c>
      <c r="K99" s="698" t="s">
        <v>109</v>
      </c>
      <c r="L99" s="699" t="s">
        <v>110</v>
      </c>
    </row>
    <row r="100" spans="1:12" ht="15" customHeight="1" thickBot="1">
      <c r="A100" s="703" t="s">
        <v>143</v>
      </c>
      <c r="B100" s="770" t="s">
        <v>3078</v>
      </c>
      <c r="C100" s="1642" t="s">
        <v>178</v>
      </c>
      <c r="D100" s="771" t="s">
        <v>3079</v>
      </c>
      <c r="E100" s="1642" t="s">
        <v>109</v>
      </c>
      <c r="F100" s="1592">
        <v>4.6875</v>
      </c>
      <c r="G100" s="1618">
        <v>50</v>
      </c>
      <c r="H100" s="1603">
        <v>12.65</v>
      </c>
      <c r="I100" s="1630">
        <v>29.8</v>
      </c>
      <c r="J100" s="1618">
        <v>99</v>
      </c>
      <c r="K100" s="1603">
        <v>1252.0999999999999</v>
      </c>
      <c r="L100" s="1630">
        <v>2950.2</v>
      </c>
    </row>
    <row r="101" spans="1:12" ht="16.350000000000001" customHeight="1" thickBot="1">
      <c r="B101" s="775" t="s">
        <v>3080</v>
      </c>
      <c r="C101" s="1697"/>
      <c r="D101" s="771" t="s">
        <v>3081</v>
      </c>
      <c r="E101" s="1697"/>
      <c r="F101" s="1697"/>
      <c r="G101" s="1686"/>
      <c r="H101" s="1687"/>
      <c r="I101" s="1689"/>
      <c r="J101" s="1686"/>
      <c r="K101" s="1687"/>
      <c r="L101" s="1689"/>
    </row>
    <row r="102" spans="1:12" ht="16.350000000000001" customHeight="1" thickBot="1">
      <c r="B102" s="775" t="s">
        <v>3082</v>
      </c>
      <c r="C102" s="1697"/>
      <c r="D102" s="771" t="s">
        <v>3083</v>
      </c>
      <c r="E102" s="1697"/>
      <c r="F102" s="1697"/>
      <c r="G102" s="1686"/>
      <c r="H102" s="1687"/>
      <c r="I102" s="1689"/>
      <c r="J102" s="1686"/>
      <c r="K102" s="1687"/>
      <c r="L102" s="1689"/>
    </row>
    <row r="103" spans="1:12" ht="16.350000000000001" customHeight="1" thickBot="1">
      <c r="B103" s="775" t="s">
        <v>3084</v>
      </c>
      <c r="C103" s="1697"/>
      <c r="D103" s="771" t="s">
        <v>3085</v>
      </c>
      <c r="E103" s="1697"/>
      <c r="F103" s="1697"/>
      <c r="G103" s="1686"/>
      <c r="H103" s="1687"/>
      <c r="I103" s="1689"/>
      <c r="J103" s="1686"/>
      <c r="K103" s="1687"/>
      <c r="L103" s="1689"/>
    </row>
    <row r="104" spans="1:12" ht="16.350000000000001" customHeight="1" thickBot="1">
      <c r="B104" s="775" t="s">
        <v>3086</v>
      </c>
      <c r="C104" s="1697"/>
      <c r="D104" s="771" t="s">
        <v>3087</v>
      </c>
      <c r="E104" s="1697"/>
      <c r="F104" s="1697"/>
      <c r="G104" s="1686"/>
      <c r="H104" s="1687"/>
      <c r="I104" s="1689"/>
      <c r="J104" s="1686"/>
      <c r="K104" s="1687"/>
      <c r="L104" s="1689"/>
    </row>
    <row r="105" spans="1:12" ht="16.350000000000001" customHeight="1" thickBot="1">
      <c r="B105" s="776" t="s">
        <v>3088</v>
      </c>
      <c r="C105" s="1719"/>
      <c r="D105" s="777" t="s">
        <v>3089</v>
      </c>
      <c r="E105" s="1719"/>
      <c r="F105" s="1700"/>
      <c r="G105" s="1691"/>
      <c r="H105" s="1718"/>
      <c r="I105" s="1705"/>
      <c r="J105" s="1691"/>
      <c r="K105" s="1718"/>
      <c r="L105" s="1705"/>
    </row>
    <row r="106" spans="1:12" ht="15" customHeight="1" thickBot="1">
      <c r="B106" s="712"/>
      <c r="C106" s="713"/>
      <c r="D106" s="778"/>
      <c r="E106" s="713"/>
      <c r="F106" s="713"/>
      <c r="G106" s="713"/>
      <c r="H106" s="728"/>
      <c r="I106" s="728"/>
      <c r="J106" s="713"/>
      <c r="K106" s="728"/>
      <c r="L106" s="728"/>
    </row>
    <row r="107" spans="1:12" ht="35.1" customHeight="1" thickBot="1">
      <c r="B107" s="779" t="s">
        <v>3090</v>
      </c>
      <c r="C107" s="780" t="s">
        <v>3045</v>
      </c>
      <c r="D107" s="780" t="s">
        <v>3045</v>
      </c>
      <c r="E107" s="780" t="s">
        <v>3045</v>
      </c>
      <c r="F107" s="780"/>
      <c r="G107" s="1598" t="s">
        <v>101</v>
      </c>
      <c r="H107" s="1675"/>
      <c r="I107" s="1675"/>
      <c r="J107" s="1593" t="s">
        <v>102</v>
      </c>
      <c r="K107" s="1675"/>
      <c r="L107" s="1676"/>
    </row>
    <row r="108" spans="1:12" ht="15" customHeight="1" thickBot="1">
      <c r="B108" s="762" t="s">
        <v>103</v>
      </c>
      <c r="C108" s="763" t="s">
        <v>104</v>
      </c>
      <c r="D108" s="763" t="s">
        <v>105</v>
      </c>
      <c r="E108" s="763" t="s">
        <v>106</v>
      </c>
      <c r="F108" s="718" t="s">
        <v>107</v>
      </c>
      <c r="G108" s="697" t="s">
        <v>108</v>
      </c>
      <c r="H108" s="698" t="s">
        <v>109</v>
      </c>
      <c r="I108" s="699" t="s">
        <v>110</v>
      </c>
      <c r="J108" s="741" t="s">
        <v>111</v>
      </c>
      <c r="K108" s="698" t="s">
        <v>109</v>
      </c>
      <c r="L108" s="699" t="s">
        <v>110</v>
      </c>
    </row>
    <row r="109" spans="1:12" ht="15" customHeight="1" thickBot="1">
      <c r="A109" s="703" t="s">
        <v>143</v>
      </c>
      <c r="B109" s="298" t="s">
        <v>3091</v>
      </c>
      <c r="C109" s="1612" t="s">
        <v>114</v>
      </c>
      <c r="D109" s="765" t="s">
        <v>3092</v>
      </c>
      <c r="E109" s="1612" t="s">
        <v>109</v>
      </c>
      <c r="F109" s="1592">
        <v>2.8472222222222219</v>
      </c>
      <c r="G109" s="1216">
        <v>6</v>
      </c>
      <c r="H109" s="1584">
        <f>K109/J109</f>
        <v>11.625208333333333</v>
      </c>
      <c r="I109" s="1145">
        <v>53.31</v>
      </c>
      <c r="J109" s="1216">
        <v>48</v>
      </c>
      <c r="K109" s="1351">
        <v>558.01</v>
      </c>
      <c r="L109" s="1585">
        <f>I109*J109</f>
        <v>2558.88</v>
      </c>
    </row>
    <row r="110" spans="1:12" ht="14.85" customHeight="1" thickBot="1">
      <c r="B110" s="298" t="s">
        <v>3093</v>
      </c>
      <c r="C110" s="1730"/>
      <c r="D110" s="765" t="s">
        <v>3094</v>
      </c>
      <c r="E110" s="1730"/>
      <c r="F110" s="1697"/>
      <c r="G110" s="1711"/>
      <c r="H110" s="1687"/>
      <c r="I110" s="1713"/>
      <c r="J110" s="1711"/>
      <c r="K110" s="1722"/>
      <c r="L110" s="1689"/>
    </row>
    <row r="111" spans="1:12" ht="14.85" customHeight="1" thickBot="1">
      <c r="B111" s="291" t="s">
        <v>3095</v>
      </c>
      <c r="C111" s="1751"/>
      <c r="D111" s="766" t="s">
        <v>3096</v>
      </c>
      <c r="E111" s="1730"/>
      <c r="F111" s="1700"/>
      <c r="G111" s="1712"/>
      <c r="H111" s="1692"/>
      <c r="I111" s="1715"/>
      <c r="J111" s="1712"/>
      <c r="K111" s="1714"/>
      <c r="L111" s="1694"/>
    </row>
    <row r="112" spans="1:12" ht="14.85" customHeight="1">
      <c r="B112" s="298" t="s">
        <v>3097</v>
      </c>
      <c r="C112" s="1612" t="s">
        <v>259</v>
      </c>
      <c r="D112" s="765" t="s">
        <v>3098</v>
      </c>
      <c r="E112" s="1730"/>
      <c r="F112" s="1592">
        <v>2.951388888888888</v>
      </c>
      <c r="G112" s="1216">
        <v>3</v>
      </c>
      <c r="H112" s="1619">
        <f>K112/J112</f>
        <v>11.620749999999999</v>
      </c>
      <c r="I112" s="1145">
        <v>52.36</v>
      </c>
      <c r="J112" s="1216">
        <v>40</v>
      </c>
      <c r="K112" s="1351">
        <v>464.83</v>
      </c>
      <c r="L112" s="1585">
        <f>I112*J112</f>
        <v>2094.4</v>
      </c>
    </row>
    <row r="113" spans="1:12" ht="15" customHeight="1">
      <c r="B113" s="298" t="s">
        <v>3099</v>
      </c>
      <c r="C113" s="1730"/>
      <c r="D113" s="765" t="s">
        <v>3100</v>
      </c>
      <c r="E113" s="1730"/>
      <c r="F113" s="1697"/>
      <c r="G113" s="1711"/>
      <c r="H113" s="1687"/>
      <c r="I113" s="1713"/>
      <c r="J113" s="1711"/>
      <c r="K113" s="1722"/>
      <c r="L113" s="1689"/>
    </row>
    <row r="114" spans="1:12" ht="14.85" customHeight="1" thickBot="1">
      <c r="A114" s="703" t="s">
        <v>112</v>
      </c>
      <c r="B114" s="291" t="s">
        <v>3101</v>
      </c>
      <c r="C114" s="1751"/>
      <c r="D114" s="766" t="s">
        <v>3102</v>
      </c>
      <c r="E114" s="1730"/>
      <c r="F114" s="1700"/>
      <c r="G114" s="1712"/>
      <c r="H114" s="1692"/>
      <c r="I114" s="1715"/>
      <c r="J114" s="1712"/>
      <c r="K114" s="1714"/>
      <c r="L114" s="1694"/>
    </row>
    <row r="115" spans="1:12" ht="14.85" customHeight="1">
      <c r="B115" s="298" t="s">
        <v>3103</v>
      </c>
      <c r="C115" s="1612" t="s">
        <v>119</v>
      </c>
      <c r="D115" s="765" t="s">
        <v>3104</v>
      </c>
      <c r="E115" s="1730"/>
      <c r="F115" s="1592">
        <v>3.645833333333333</v>
      </c>
      <c r="G115" s="1216">
        <v>2</v>
      </c>
      <c r="H115" s="1619">
        <f>K115/J115</f>
        <v>15.494333333333334</v>
      </c>
      <c r="I115" s="1145">
        <v>61.73</v>
      </c>
      <c r="J115" s="1216">
        <v>30</v>
      </c>
      <c r="K115" s="1351">
        <v>464.83</v>
      </c>
      <c r="L115" s="1585">
        <f>I115*J115</f>
        <v>1851.8999999999999</v>
      </c>
    </row>
    <row r="116" spans="1:12" ht="14.85" customHeight="1">
      <c r="B116" s="298" t="s">
        <v>3105</v>
      </c>
      <c r="C116" s="1730"/>
      <c r="D116" s="765" t="s">
        <v>3106</v>
      </c>
      <c r="E116" s="1730"/>
      <c r="F116" s="1697"/>
      <c r="G116" s="1711"/>
      <c r="H116" s="1687"/>
      <c r="I116" s="1713"/>
      <c r="J116" s="1711"/>
      <c r="K116" s="1722"/>
      <c r="L116" s="1689"/>
    </row>
    <row r="117" spans="1:12" ht="14.85" customHeight="1" thickBot="1">
      <c r="B117" s="291" t="s">
        <v>3107</v>
      </c>
      <c r="C117" s="1751"/>
      <c r="D117" s="766" t="s">
        <v>3108</v>
      </c>
      <c r="E117" s="1751"/>
      <c r="F117" s="1700"/>
      <c r="G117" s="1712"/>
      <c r="H117" s="1692"/>
      <c r="I117" s="1715"/>
      <c r="J117" s="1712"/>
      <c r="K117" s="1714"/>
      <c r="L117" s="1694"/>
    </row>
    <row r="118" spans="1:12" ht="15" customHeight="1" thickBot="1">
      <c r="B118" s="692"/>
      <c r="C118" s="713"/>
      <c r="D118" s="692"/>
      <c r="E118" s="713"/>
      <c r="F118" s="713"/>
      <c r="G118" s="713"/>
      <c r="H118" s="728"/>
      <c r="I118" s="728"/>
      <c r="J118" s="713"/>
      <c r="K118" s="728"/>
      <c r="L118" s="728"/>
    </row>
    <row r="119" spans="1:12" ht="32.1" customHeight="1" thickBot="1">
      <c r="A119" s="781"/>
      <c r="B119" s="691" t="s">
        <v>3109</v>
      </c>
      <c r="G119" s="1598" t="s">
        <v>101</v>
      </c>
      <c r="H119" s="1675"/>
      <c r="I119" s="1675"/>
      <c r="J119" s="1593" t="s">
        <v>102</v>
      </c>
      <c r="K119" s="1675"/>
      <c r="L119" s="1676"/>
    </row>
    <row r="120" spans="1:12" ht="15" customHeight="1" thickBot="1">
      <c r="B120" s="694" t="s">
        <v>103</v>
      </c>
      <c r="C120" s="717" t="s">
        <v>104</v>
      </c>
      <c r="D120" s="730" t="s">
        <v>105</v>
      </c>
      <c r="E120" s="718" t="s">
        <v>106</v>
      </c>
      <c r="F120" s="718" t="s">
        <v>107</v>
      </c>
      <c r="G120" s="697" t="s">
        <v>108</v>
      </c>
      <c r="H120" s="698" t="s">
        <v>109</v>
      </c>
      <c r="I120" s="699" t="s">
        <v>110</v>
      </c>
      <c r="J120" s="697" t="s">
        <v>111</v>
      </c>
      <c r="K120" s="698" t="s">
        <v>109</v>
      </c>
      <c r="L120" s="699" t="s">
        <v>110</v>
      </c>
    </row>
    <row r="121" spans="1:12" ht="15" customHeight="1" thickBot="1">
      <c r="A121" s="703" t="s">
        <v>143</v>
      </c>
      <c r="B121" s="782" t="s">
        <v>3110</v>
      </c>
      <c r="C121" s="1594" t="s">
        <v>3111</v>
      </c>
      <c r="D121" s="783" t="s">
        <v>3112</v>
      </c>
      <c r="E121" s="1594" t="s">
        <v>109</v>
      </c>
      <c r="F121" s="1592">
        <v>7.291666666666667</v>
      </c>
      <c r="G121" s="1595">
        <v>16</v>
      </c>
      <c r="H121" s="1584">
        <v>7.97</v>
      </c>
      <c r="I121" s="1585">
        <v>21.98</v>
      </c>
      <c r="J121" s="1595">
        <v>92</v>
      </c>
      <c r="K121" s="1584">
        <v>732.81</v>
      </c>
      <c r="L121" s="1585">
        <v>2022.16</v>
      </c>
    </row>
    <row r="122" spans="1:12" ht="16.350000000000001" customHeight="1" thickBot="1">
      <c r="B122" s="784" t="s">
        <v>3113</v>
      </c>
      <c r="C122" s="1700"/>
      <c r="D122" s="785" t="s">
        <v>3114</v>
      </c>
      <c r="E122" s="1700"/>
      <c r="F122" s="1700"/>
      <c r="G122" s="1690"/>
      <c r="H122" s="1692"/>
      <c r="I122" s="1694"/>
      <c r="J122" s="1690"/>
      <c r="K122" s="1692"/>
      <c r="L122" s="1694"/>
    </row>
    <row r="123" spans="1:12" ht="15" customHeight="1" thickBot="1">
      <c r="B123" s="692"/>
      <c r="C123" s="713"/>
      <c r="D123" s="692"/>
      <c r="E123" s="713"/>
      <c r="F123" s="713"/>
      <c r="G123" s="692"/>
      <c r="H123" s="713"/>
      <c r="I123" s="745"/>
      <c r="J123" s="692"/>
      <c r="K123" s="713"/>
      <c r="L123" s="745"/>
    </row>
    <row r="124" spans="1:12" ht="29.25" customHeight="1" thickBot="1">
      <c r="B124" s="691" t="s">
        <v>3115</v>
      </c>
      <c r="D124" s="692"/>
      <c r="G124" s="1611" t="s">
        <v>101</v>
      </c>
      <c r="H124" s="1716"/>
      <c r="I124" s="1716"/>
      <c r="J124" s="1593" t="s">
        <v>102</v>
      </c>
      <c r="K124" s="1675"/>
      <c r="L124" s="1676"/>
    </row>
    <row r="125" spans="1:12" ht="15" customHeight="1" thickBot="1">
      <c r="B125" s="693" t="s">
        <v>103</v>
      </c>
      <c r="C125" s="694" t="s">
        <v>104</v>
      </c>
      <c r="D125" s="695" t="s">
        <v>105</v>
      </c>
      <c r="E125" s="696" t="s">
        <v>106</v>
      </c>
      <c r="F125" s="718" t="s">
        <v>107</v>
      </c>
      <c r="G125" s="697" t="s">
        <v>108</v>
      </c>
      <c r="H125" s="698" t="s">
        <v>109</v>
      </c>
      <c r="I125" s="699" t="s">
        <v>110</v>
      </c>
      <c r="J125" s="700" t="s">
        <v>111</v>
      </c>
      <c r="K125" s="701" t="s">
        <v>109</v>
      </c>
      <c r="L125" s="702" t="s">
        <v>110</v>
      </c>
    </row>
    <row r="126" spans="1:12" ht="15" customHeight="1" thickBot="1">
      <c r="A126" s="703" t="s">
        <v>143</v>
      </c>
      <c r="B126" s="769" t="s">
        <v>3116</v>
      </c>
      <c r="C126" s="706" t="s">
        <v>3117</v>
      </c>
      <c r="D126" s="769" t="s">
        <v>3118</v>
      </c>
      <c r="E126" s="706" t="s">
        <v>109</v>
      </c>
      <c r="F126" s="707">
        <v>4.5138888888888893</v>
      </c>
      <c r="G126" s="708">
        <v>4</v>
      </c>
      <c r="H126" s="709">
        <v>11.65</v>
      </c>
      <c r="I126" s="710">
        <f>20.29*2.205</f>
        <v>44.739449999999998</v>
      </c>
      <c r="J126" s="708">
        <v>44</v>
      </c>
      <c r="K126" s="709">
        <f>J126*H126</f>
        <v>512.6</v>
      </c>
      <c r="L126" s="710">
        <f>J126*I126</f>
        <v>1968.5357999999999</v>
      </c>
    </row>
    <row r="127" spans="1:12" ht="15" customHeight="1" thickBot="1">
      <c r="B127" s="712"/>
      <c r="C127" s="713"/>
      <c r="D127" s="778"/>
      <c r="E127" s="713"/>
      <c r="F127" s="713"/>
      <c r="G127" s="713"/>
      <c r="H127" s="728"/>
      <c r="I127" s="728"/>
      <c r="J127" s="713"/>
      <c r="K127" s="728"/>
      <c r="L127" s="728"/>
    </row>
    <row r="128" spans="1:12" ht="32.1" customHeight="1" thickBot="1">
      <c r="B128" s="691" t="s">
        <v>3119</v>
      </c>
      <c r="G128" s="1593" t="s">
        <v>101</v>
      </c>
      <c r="H128" s="1675"/>
      <c r="I128" s="1676"/>
      <c r="J128" s="1593" t="s">
        <v>102</v>
      </c>
      <c r="K128" s="1675"/>
      <c r="L128" s="1676"/>
    </row>
    <row r="129" spans="1:12" ht="15" customHeight="1" thickBot="1">
      <c r="B129" s="694" t="s">
        <v>103</v>
      </c>
      <c r="C129" s="717" t="s">
        <v>104</v>
      </c>
      <c r="D129" s="730" t="s">
        <v>105</v>
      </c>
      <c r="E129" s="718" t="s">
        <v>106</v>
      </c>
      <c r="F129" s="718" t="s">
        <v>107</v>
      </c>
      <c r="G129" s="697" t="s">
        <v>108</v>
      </c>
      <c r="H129" s="698" t="s">
        <v>109</v>
      </c>
      <c r="I129" s="699" t="s">
        <v>110</v>
      </c>
      <c r="J129" s="697" t="s">
        <v>111</v>
      </c>
      <c r="K129" s="698" t="s">
        <v>109</v>
      </c>
      <c r="L129" s="699" t="s">
        <v>110</v>
      </c>
    </row>
    <row r="130" spans="1:12" ht="15" customHeight="1" thickBot="1">
      <c r="A130" s="703" t="s">
        <v>143</v>
      </c>
      <c r="B130" s="719" t="s">
        <v>3120</v>
      </c>
      <c r="C130" s="1594" t="s">
        <v>3111</v>
      </c>
      <c r="D130" s="719" t="s">
        <v>3121</v>
      </c>
      <c r="E130" s="1594" t="s">
        <v>109</v>
      </c>
      <c r="F130" s="1592">
        <v>7.291666666666667</v>
      </c>
      <c r="G130" s="1613">
        <v>16</v>
      </c>
      <c r="H130" s="1609">
        <v>7.9649999999999999</v>
      </c>
      <c r="I130" s="1585">
        <v>21.98</v>
      </c>
      <c r="J130" s="1613">
        <v>92</v>
      </c>
      <c r="K130" s="1589">
        <v>732.81</v>
      </c>
      <c r="L130" s="1637">
        <v>2022.16</v>
      </c>
    </row>
    <row r="131" spans="1:12" ht="16.350000000000001" customHeight="1" thickBot="1">
      <c r="B131" s="723" t="s">
        <v>3122</v>
      </c>
      <c r="C131" s="1697"/>
      <c r="D131" s="723" t="s">
        <v>3123</v>
      </c>
      <c r="E131" s="1697"/>
      <c r="F131" s="1697"/>
      <c r="G131" s="1677"/>
      <c r="H131" s="1688"/>
      <c r="I131" s="1689"/>
      <c r="J131" s="1677"/>
      <c r="K131" s="1687"/>
      <c r="L131" s="1739"/>
    </row>
    <row r="132" spans="1:12" ht="16.350000000000001" customHeight="1" thickBot="1">
      <c r="B132" s="723" t="s">
        <v>3124</v>
      </c>
      <c r="C132" s="1697"/>
      <c r="D132" s="723" t="s">
        <v>3125</v>
      </c>
      <c r="E132" s="1697"/>
      <c r="F132" s="1697"/>
      <c r="G132" s="1677"/>
      <c r="H132" s="1688"/>
      <c r="I132" s="1689"/>
      <c r="J132" s="1677"/>
      <c r="K132" s="1687"/>
      <c r="L132" s="1739"/>
    </row>
    <row r="133" spans="1:12" ht="16.350000000000001" customHeight="1" thickBot="1">
      <c r="B133" s="723" t="s">
        <v>3126</v>
      </c>
      <c r="C133" s="1697"/>
      <c r="D133" s="723" t="s">
        <v>3127</v>
      </c>
      <c r="E133" s="1697"/>
      <c r="F133" s="1697"/>
      <c r="G133" s="1677"/>
      <c r="H133" s="1688"/>
      <c r="I133" s="1689"/>
      <c r="J133" s="1677"/>
      <c r="K133" s="1687"/>
      <c r="L133" s="1739"/>
    </row>
    <row r="134" spans="1:12" ht="16.350000000000001" customHeight="1" thickBot="1">
      <c r="B134" s="723" t="s">
        <v>3128</v>
      </c>
      <c r="C134" s="1697"/>
      <c r="D134" s="723" t="s">
        <v>3129</v>
      </c>
      <c r="E134" s="1697"/>
      <c r="F134" s="1697"/>
      <c r="G134" s="1677"/>
      <c r="H134" s="1688"/>
      <c r="I134" s="1689"/>
      <c r="J134" s="1677"/>
      <c r="K134" s="1687"/>
      <c r="L134" s="1739"/>
    </row>
    <row r="135" spans="1:12" ht="16.350000000000001" customHeight="1" thickBot="1">
      <c r="B135" s="725" t="s">
        <v>3130</v>
      </c>
      <c r="C135" s="1700"/>
      <c r="D135" s="725" t="s">
        <v>3131</v>
      </c>
      <c r="E135" s="1700"/>
      <c r="F135" s="1700"/>
      <c r="G135" s="1679"/>
      <c r="H135" s="1701"/>
      <c r="I135" s="1694"/>
      <c r="J135" s="1679"/>
      <c r="K135" s="1692"/>
      <c r="L135" s="1738"/>
    </row>
    <row r="136" spans="1:12" ht="15" customHeight="1" thickBot="1">
      <c r="B136" s="786"/>
      <c r="C136" s="713"/>
      <c r="D136" s="786"/>
      <c r="E136" s="713"/>
      <c r="F136" s="713"/>
      <c r="G136" s="787"/>
      <c r="H136" s="788"/>
      <c r="I136" s="788"/>
      <c r="J136" s="787"/>
      <c r="K136" s="788"/>
      <c r="L136" s="788"/>
    </row>
    <row r="137" spans="1:12" ht="32.1" customHeight="1" thickBot="1">
      <c r="B137" s="691" t="s">
        <v>3132</v>
      </c>
      <c r="D137" s="688"/>
      <c r="G137" s="1598" t="s">
        <v>101</v>
      </c>
      <c r="H137" s="1675"/>
      <c r="I137" s="1675"/>
      <c r="J137" s="1593" t="s">
        <v>102</v>
      </c>
      <c r="K137" s="1675"/>
      <c r="L137" s="1676"/>
    </row>
    <row r="138" spans="1:12" ht="15" customHeight="1" thickBot="1">
      <c r="B138" s="717" t="s">
        <v>103</v>
      </c>
      <c r="C138" s="717" t="s">
        <v>104</v>
      </c>
      <c r="D138" s="730" t="s">
        <v>105</v>
      </c>
      <c r="E138" s="718" t="s">
        <v>106</v>
      </c>
      <c r="F138" s="718" t="s">
        <v>107</v>
      </c>
      <c r="G138" s="697" t="s">
        <v>108</v>
      </c>
      <c r="H138" s="698" t="s">
        <v>109</v>
      </c>
      <c r="I138" s="699" t="s">
        <v>110</v>
      </c>
      <c r="J138" s="697" t="s">
        <v>111</v>
      </c>
      <c r="K138" s="698" t="s">
        <v>109</v>
      </c>
      <c r="L138" s="699" t="s">
        <v>110</v>
      </c>
    </row>
    <row r="139" spans="1:12" ht="15" customHeight="1" thickBot="1">
      <c r="A139" s="703" t="s">
        <v>112</v>
      </c>
      <c r="B139" s="789" t="s">
        <v>3133</v>
      </c>
      <c r="C139" s="1635" t="s">
        <v>259</v>
      </c>
      <c r="D139" s="790" t="s">
        <v>3134</v>
      </c>
      <c r="E139" s="1647" t="s">
        <v>109</v>
      </c>
      <c r="F139" s="1625">
        <v>2.638888888888888</v>
      </c>
      <c r="G139" s="1658">
        <v>4</v>
      </c>
      <c r="H139" s="1590">
        <v>15.5</v>
      </c>
      <c r="I139" s="1657">
        <f>29*2.205</f>
        <v>63.945</v>
      </c>
      <c r="J139" s="1591">
        <v>30</v>
      </c>
      <c r="K139" s="1590">
        <f>J139*H139</f>
        <v>465</v>
      </c>
      <c r="L139" s="1648">
        <f>J139*I139</f>
        <v>1918.35</v>
      </c>
    </row>
    <row r="140" spans="1:12" ht="15" customHeight="1" thickBot="1">
      <c r="B140" s="791" t="s">
        <v>3135</v>
      </c>
      <c r="C140" s="1730"/>
      <c r="D140" s="792" t="s">
        <v>3136</v>
      </c>
      <c r="E140" s="1755"/>
      <c r="F140" s="1756"/>
      <c r="G140" s="1687"/>
      <c r="H140" s="1687"/>
      <c r="I140" s="1688"/>
      <c r="J140" s="1686"/>
      <c r="K140" s="1687"/>
      <c r="L140" s="1689"/>
    </row>
    <row r="141" spans="1:12" ht="15" customHeight="1" thickBot="1">
      <c r="A141" s="793"/>
      <c r="B141" s="794" t="s">
        <v>3137</v>
      </c>
      <c r="C141" s="1730"/>
      <c r="D141" s="794" t="s">
        <v>3138</v>
      </c>
      <c r="E141" s="1755"/>
      <c r="F141" s="1756"/>
      <c r="G141" s="1687"/>
      <c r="H141" s="1687"/>
      <c r="I141" s="1688"/>
      <c r="J141" s="1686"/>
      <c r="K141" s="1687"/>
      <c r="L141" s="1689"/>
    </row>
    <row r="142" spans="1:12" ht="15" customHeight="1" thickBot="1">
      <c r="B142" s="795" t="s">
        <v>3139</v>
      </c>
      <c r="C142" s="1732"/>
      <c r="D142" s="795" t="s">
        <v>3140</v>
      </c>
      <c r="E142" s="1757"/>
      <c r="F142" s="1758"/>
      <c r="G142" s="1718"/>
      <c r="H142" s="1718"/>
      <c r="I142" s="1693"/>
      <c r="J142" s="1691"/>
      <c r="K142" s="1718"/>
      <c r="L142" s="1705"/>
    </row>
    <row r="143" spans="1:12" ht="15" customHeight="1" thickBot="1">
      <c r="B143" s="712" t="s">
        <v>2971</v>
      </c>
      <c r="C143" s="711"/>
      <c r="D143" s="712"/>
      <c r="E143" s="713"/>
      <c r="F143" s="713"/>
      <c r="G143" s="787"/>
      <c r="H143" s="788"/>
      <c r="I143" s="788"/>
      <c r="J143" s="787"/>
      <c r="K143" s="788"/>
      <c r="L143" s="788"/>
    </row>
    <row r="144" spans="1:12" ht="32.1" customHeight="1" thickBot="1">
      <c r="A144" s="703"/>
      <c r="B144" s="691" t="s">
        <v>3141</v>
      </c>
      <c r="D144" s="688"/>
      <c r="G144" s="1598" t="s">
        <v>101</v>
      </c>
      <c r="H144" s="1675"/>
      <c r="I144" s="1675"/>
      <c r="J144" s="1593" t="s">
        <v>102</v>
      </c>
      <c r="K144" s="1675"/>
      <c r="L144" s="1676"/>
    </row>
    <row r="145" spans="1:12" ht="15" customHeight="1" thickBot="1">
      <c r="A145" s="703"/>
      <c r="B145" s="746" t="s">
        <v>103</v>
      </c>
      <c r="C145" s="717" t="s">
        <v>104</v>
      </c>
      <c r="D145" s="796" t="s">
        <v>105</v>
      </c>
      <c r="E145" s="718" t="s">
        <v>106</v>
      </c>
      <c r="F145" s="718" t="s">
        <v>107</v>
      </c>
      <c r="G145" s="697" t="s">
        <v>108</v>
      </c>
      <c r="H145" s="698" t="s">
        <v>109</v>
      </c>
      <c r="I145" s="699" t="s">
        <v>110</v>
      </c>
      <c r="J145" s="697" t="s">
        <v>111</v>
      </c>
      <c r="K145" s="698" t="s">
        <v>109</v>
      </c>
      <c r="L145" s="699" t="s">
        <v>110</v>
      </c>
    </row>
    <row r="146" spans="1:12" ht="15" customHeight="1" thickBot="1">
      <c r="A146" s="703" t="s">
        <v>112</v>
      </c>
      <c r="B146" s="719" t="s">
        <v>3142</v>
      </c>
      <c r="C146" s="1594" t="s">
        <v>268</v>
      </c>
      <c r="D146" s="719" t="s">
        <v>3143</v>
      </c>
      <c r="E146" s="1594" t="s">
        <v>109</v>
      </c>
      <c r="F146" s="1592">
        <v>4.7222222222222232</v>
      </c>
      <c r="G146" s="1606">
        <v>2</v>
      </c>
      <c r="H146" s="1608">
        <v>30.68</v>
      </c>
      <c r="I146" s="1585">
        <v>112.88</v>
      </c>
      <c r="J146" s="1606">
        <v>32</v>
      </c>
      <c r="K146" s="1608">
        <v>981.68</v>
      </c>
      <c r="L146" s="1585">
        <v>3612.16</v>
      </c>
    </row>
    <row r="147" spans="1:12" ht="15" customHeight="1" thickBot="1">
      <c r="A147" s="703"/>
      <c r="B147" s="725" t="s">
        <v>3144</v>
      </c>
      <c r="C147" s="1700"/>
      <c r="D147" s="725" t="s">
        <v>3145</v>
      </c>
      <c r="E147" s="1700"/>
      <c r="F147" s="1700"/>
      <c r="G147" s="1690"/>
      <c r="H147" s="1692"/>
      <c r="I147" s="1694"/>
      <c r="J147" s="1690"/>
      <c r="K147" s="1692"/>
      <c r="L147" s="1694"/>
    </row>
    <row r="148" spans="1:12" ht="15" customHeight="1" thickBot="1">
      <c r="A148" s="703"/>
      <c r="B148" s="703"/>
      <c r="C148" s="703"/>
      <c r="D148" s="703"/>
      <c r="E148" s="703"/>
      <c r="F148" s="703"/>
      <c r="G148" s="797"/>
      <c r="H148" s="797"/>
      <c r="I148" s="797"/>
      <c r="J148" s="692"/>
      <c r="K148" s="692"/>
      <c r="L148" s="692"/>
    </row>
    <row r="149" spans="1:12" ht="32.1" customHeight="1" thickBot="1">
      <c r="A149" s="692"/>
      <c r="B149" s="1644" t="s">
        <v>3146</v>
      </c>
      <c r="C149" s="1681"/>
      <c r="D149" s="1681"/>
      <c r="E149" s="798"/>
      <c r="F149" s="798"/>
      <c r="G149" s="1598" t="s">
        <v>101</v>
      </c>
      <c r="H149" s="1675"/>
      <c r="I149" s="1675"/>
      <c r="J149" s="1593" t="s">
        <v>102</v>
      </c>
      <c r="K149" s="1675"/>
      <c r="L149" s="1676"/>
    </row>
    <row r="150" spans="1:12" ht="15" customHeight="1" thickBot="1">
      <c r="A150" s="687"/>
      <c r="B150" s="717" t="s">
        <v>103</v>
      </c>
      <c r="C150" s="717" t="s">
        <v>104</v>
      </c>
      <c r="D150" s="799" t="s">
        <v>105</v>
      </c>
      <c r="E150" s="718" t="s">
        <v>106</v>
      </c>
      <c r="F150" s="718" t="s">
        <v>107</v>
      </c>
      <c r="G150" s="697" t="s">
        <v>108</v>
      </c>
      <c r="H150" s="698" t="s">
        <v>109</v>
      </c>
      <c r="I150" s="699" t="s">
        <v>110</v>
      </c>
      <c r="J150" s="800" t="s">
        <v>111</v>
      </c>
      <c r="K150" s="801" t="s">
        <v>109</v>
      </c>
      <c r="L150" s="802" t="s">
        <v>110</v>
      </c>
    </row>
    <row r="151" spans="1:12" ht="15" customHeight="1" thickBot="1">
      <c r="A151" s="703" t="s">
        <v>112</v>
      </c>
      <c r="B151" s="803" t="s">
        <v>3147</v>
      </c>
      <c r="C151" s="1662" t="s">
        <v>125</v>
      </c>
      <c r="D151" s="731" t="s">
        <v>3148</v>
      </c>
      <c r="E151" s="1594" t="s">
        <v>109</v>
      </c>
      <c r="F151" s="1592">
        <v>3.4375</v>
      </c>
      <c r="G151" s="1604">
        <v>8</v>
      </c>
      <c r="H151" s="1616">
        <f>1.87*10.764</f>
        <v>20.128679999999999</v>
      </c>
      <c r="I151" s="1605">
        <v>43.3</v>
      </c>
      <c r="J151" s="1604">
        <v>54</v>
      </c>
      <c r="K151" s="1616">
        <v>544.01</v>
      </c>
      <c r="L151" s="1605">
        <v>2338.1999999999998</v>
      </c>
    </row>
    <row r="152" spans="1:12" ht="15" customHeight="1" thickBot="1">
      <c r="B152" s="804" t="s">
        <v>3149</v>
      </c>
      <c r="C152" s="1697"/>
      <c r="D152" s="805" t="s">
        <v>3150</v>
      </c>
      <c r="E152" s="1697"/>
      <c r="F152" s="1697"/>
      <c r="G152" s="1686"/>
      <c r="H152" s="1687"/>
      <c r="I152" s="1689"/>
      <c r="J152" s="1686"/>
      <c r="K152" s="1687"/>
      <c r="L152" s="1689"/>
    </row>
    <row r="153" spans="1:12" ht="16.350000000000001" customHeight="1" thickBot="1">
      <c r="A153" s="687"/>
      <c r="B153" s="806" t="s">
        <v>3151</v>
      </c>
      <c r="C153" s="1697"/>
      <c r="D153" s="742" t="s">
        <v>3152</v>
      </c>
      <c r="E153" s="1697"/>
      <c r="F153" s="1700"/>
      <c r="G153" s="1686"/>
      <c r="H153" s="1687"/>
      <c r="I153" s="1689"/>
      <c r="J153" s="1686"/>
      <c r="K153" s="1687"/>
      <c r="L153" s="1689"/>
    </row>
    <row r="154" spans="1:12" ht="15" customHeight="1" thickBot="1">
      <c r="A154" s="703" t="s">
        <v>143</v>
      </c>
      <c r="B154" s="803" t="s">
        <v>3153</v>
      </c>
      <c r="C154" s="1594" t="s">
        <v>2856</v>
      </c>
      <c r="D154" s="731" t="s">
        <v>3154</v>
      </c>
      <c r="E154" s="1697"/>
      <c r="F154" s="1592">
        <v>4.5138888888888893</v>
      </c>
      <c r="G154" s="1595">
        <v>3</v>
      </c>
      <c r="H154" s="1584">
        <v>15.5</v>
      </c>
      <c r="I154" s="1585">
        <f>28*2.205</f>
        <v>61.74</v>
      </c>
      <c r="J154" s="1595">
        <v>40</v>
      </c>
      <c r="K154" s="1584">
        <f>J154*H154</f>
        <v>620</v>
      </c>
      <c r="L154" s="1585">
        <f>J154*I154</f>
        <v>2469.6</v>
      </c>
    </row>
    <row r="155" spans="1:12" ht="15" customHeight="1" thickBot="1">
      <c r="A155" s="687"/>
      <c r="B155" s="804" t="s">
        <v>3155</v>
      </c>
      <c r="C155" s="1697"/>
      <c r="D155" s="805" t="s">
        <v>3156</v>
      </c>
      <c r="E155" s="1697"/>
      <c r="F155" s="1697"/>
      <c r="G155" s="1686"/>
      <c r="H155" s="1687"/>
      <c r="I155" s="1689"/>
      <c r="J155" s="1686"/>
      <c r="K155" s="1687"/>
      <c r="L155" s="1689"/>
    </row>
    <row r="156" spans="1:12" ht="15" customHeight="1" thickBot="1">
      <c r="A156" s="692"/>
      <c r="B156" s="806" t="s">
        <v>3157</v>
      </c>
      <c r="C156" s="1700"/>
      <c r="D156" s="742" t="s">
        <v>3158</v>
      </c>
      <c r="E156" s="1700"/>
      <c r="F156" s="1700"/>
      <c r="G156" s="1690"/>
      <c r="H156" s="1692"/>
      <c r="I156" s="1694"/>
      <c r="J156" s="1690"/>
      <c r="K156" s="1692"/>
      <c r="L156" s="1694"/>
    </row>
    <row r="157" spans="1:12" ht="15" customHeight="1" thickBot="1">
      <c r="B157" s="786"/>
      <c r="C157" s="713"/>
      <c r="D157" s="786"/>
      <c r="E157" s="713"/>
      <c r="F157" s="713"/>
      <c r="G157" s="787"/>
      <c r="H157" s="788"/>
      <c r="I157" s="788"/>
      <c r="J157" s="787"/>
      <c r="K157" s="788"/>
      <c r="L157" s="788"/>
    </row>
    <row r="158" spans="1:12" ht="32.1" customHeight="1" thickBot="1">
      <c r="B158" s="691" t="s">
        <v>3159</v>
      </c>
      <c r="D158" s="688"/>
      <c r="G158" s="1598" t="s">
        <v>101</v>
      </c>
      <c r="H158" s="1675"/>
      <c r="I158" s="1675"/>
      <c r="J158" s="1593" t="s">
        <v>102</v>
      </c>
      <c r="K158" s="1675"/>
      <c r="L158" s="1676"/>
    </row>
    <row r="159" spans="1:12" ht="15" customHeight="1" thickBot="1">
      <c r="B159" s="717" t="s">
        <v>103</v>
      </c>
      <c r="C159" s="717" t="s">
        <v>104</v>
      </c>
      <c r="D159" s="730" t="s">
        <v>105</v>
      </c>
      <c r="E159" s="718" t="s">
        <v>106</v>
      </c>
      <c r="F159" s="718" t="s">
        <v>107</v>
      </c>
      <c r="G159" s="697" t="s">
        <v>108</v>
      </c>
      <c r="H159" s="698" t="s">
        <v>109</v>
      </c>
      <c r="I159" s="699" t="s">
        <v>110</v>
      </c>
      <c r="J159" s="800" t="s">
        <v>111</v>
      </c>
      <c r="K159" s="801" t="s">
        <v>109</v>
      </c>
      <c r="L159" s="802" t="s">
        <v>110</v>
      </c>
    </row>
    <row r="160" spans="1:12" ht="15" customHeight="1" thickBot="1">
      <c r="A160" s="703" t="s">
        <v>112</v>
      </c>
      <c r="B160" s="789" t="s">
        <v>3160</v>
      </c>
      <c r="C160" s="1635" t="s">
        <v>119</v>
      </c>
      <c r="D160" s="807" t="s">
        <v>3161</v>
      </c>
      <c r="E160" s="1594" t="s">
        <v>109</v>
      </c>
      <c r="F160" s="1592">
        <v>3.4375</v>
      </c>
      <c r="G160" s="1606">
        <v>3</v>
      </c>
      <c r="H160" s="1608">
        <f>2.16*10.764</f>
        <v>23.250240000000002</v>
      </c>
      <c r="I160" s="1599">
        <f>36*2.205</f>
        <v>79.38</v>
      </c>
      <c r="J160" s="1606">
        <v>30</v>
      </c>
      <c r="K160" s="1608">
        <f>J160*H160</f>
        <v>697.50720000000001</v>
      </c>
      <c r="L160" s="1599">
        <f>J160*I160</f>
        <v>2381.3999999999996</v>
      </c>
    </row>
    <row r="161" spans="1:12" ht="15" customHeight="1" thickBot="1">
      <c r="B161" s="791" t="s">
        <v>3162</v>
      </c>
      <c r="C161" s="1730"/>
      <c r="D161" s="808" t="s">
        <v>3163</v>
      </c>
      <c r="E161" s="1697"/>
      <c r="F161" s="1697"/>
      <c r="G161" s="1686"/>
      <c r="H161" s="1687"/>
      <c r="I161" s="1689"/>
      <c r="J161" s="1686"/>
      <c r="K161" s="1687"/>
      <c r="L161" s="1689"/>
    </row>
    <row r="162" spans="1:12" ht="15" customHeight="1" thickBot="1">
      <c r="A162" s="793"/>
      <c r="B162" s="794" t="s">
        <v>3164</v>
      </c>
      <c r="C162" s="1730"/>
      <c r="D162" s="809" t="s">
        <v>3165</v>
      </c>
      <c r="E162" s="1697"/>
      <c r="F162" s="1700"/>
      <c r="G162" s="1686"/>
      <c r="H162" s="1687"/>
      <c r="I162" s="1689"/>
      <c r="J162" s="1686"/>
      <c r="K162" s="1687"/>
      <c r="L162" s="1689"/>
    </row>
    <row r="163" spans="1:12" ht="15" customHeight="1" thickBot="1">
      <c r="A163" s="703" t="s">
        <v>143</v>
      </c>
      <c r="B163" s="795" t="s">
        <v>3166</v>
      </c>
      <c r="C163" s="1732"/>
      <c r="D163" s="810" t="s">
        <v>3167</v>
      </c>
      <c r="E163" s="1700"/>
      <c r="F163" s="707">
        <v>4.5138888888888893</v>
      </c>
      <c r="G163" s="1690"/>
      <c r="H163" s="1692"/>
      <c r="I163" s="1694"/>
      <c r="J163" s="1690"/>
      <c r="K163" s="1692"/>
      <c r="L163" s="1694"/>
    </row>
    <row r="164" spans="1:12" ht="15" customHeight="1" thickBot="1">
      <c r="B164" s="786"/>
      <c r="C164" s="713"/>
      <c r="D164" s="786"/>
      <c r="E164" s="713"/>
      <c r="F164" s="713"/>
      <c r="G164" s="787"/>
      <c r="H164" s="788"/>
      <c r="I164" s="788"/>
      <c r="J164" s="787"/>
      <c r="K164" s="788"/>
      <c r="L164" s="788"/>
    </row>
    <row r="165" spans="1:12" ht="32.1" customHeight="1" thickBot="1">
      <c r="B165" s="691" t="s">
        <v>3168</v>
      </c>
      <c r="D165" s="688"/>
      <c r="G165" s="1598" t="s">
        <v>101</v>
      </c>
      <c r="H165" s="1675"/>
      <c r="I165" s="1675"/>
      <c r="J165" s="1593" t="s">
        <v>102</v>
      </c>
      <c r="K165" s="1675"/>
      <c r="L165" s="1676"/>
    </row>
    <row r="166" spans="1:12" ht="15" customHeight="1" thickBot="1">
      <c r="B166" s="717" t="s">
        <v>103</v>
      </c>
      <c r="C166" s="717" t="s">
        <v>104</v>
      </c>
      <c r="D166" s="730" t="s">
        <v>105</v>
      </c>
      <c r="E166" s="718" t="s">
        <v>106</v>
      </c>
      <c r="F166" s="718" t="s">
        <v>107</v>
      </c>
      <c r="G166" s="697" t="s">
        <v>108</v>
      </c>
      <c r="H166" s="698" t="s">
        <v>109</v>
      </c>
      <c r="I166" s="699" t="s">
        <v>110</v>
      </c>
      <c r="J166" s="800" t="s">
        <v>111</v>
      </c>
      <c r="K166" s="801" t="s">
        <v>109</v>
      </c>
      <c r="L166" s="802" t="s">
        <v>110</v>
      </c>
    </row>
    <row r="167" spans="1:12" ht="15" customHeight="1" thickBot="1">
      <c r="A167" s="703" t="s">
        <v>112</v>
      </c>
      <c r="B167" s="811" t="s">
        <v>3169</v>
      </c>
      <c r="C167" s="1645" t="s">
        <v>2670</v>
      </c>
      <c r="D167" s="812" t="s">
        <v>3170</v>
      </c>
      <c r="E167" s="1594" t="s">
        <v>109</v>
      </c>
      <c r="F167" s="1592">
        <v>6.25</v>
      </c>
      <c r="G167" s="1601">
        <v>1</v>
      </c>
      <c r="H167" s="1602">
        <v>27.56</v>
      </c>
      <c r="I167" s="1602">
        <v>102.48</v>
      </c>
      <c r="J167" s="1602">
        <v>32</v>
      </c>
      <c r="K167" s="1602">
        <v>881.78</v>
      </c>
      <c r="L167" s="1602">
        <v>3279.5</v>
      </c>
    </row>
    <row r="168" spans="1:12" ht="15" customHeight="1" thickBot="1">
      <c r="B168" s="813" t="s">
        <v>3171</v>
      </c>
      <c r="C168" s="1730"/>
      <c r="D168" s="791" t="s">
        <v>3172</v>
      </c>
      <c r="E168" s="1697"/>
      <c r="F168" s="1697"/>
      <c r="G168" s="1697"/>
      <c r="H168" s="1697"/>
      <c r="I168" s="1697"/>
      <c r="J168" s="1697"/>
      <c r="K168" s="1697"/>
      <c r="L168" s="1697"/>
    </row>
    <row r="169" spans="1:12" ht="15" customHeight="1" thickBot="1">
      <c r="A169" s="793"/>
      <c r="B169" s="813" t="s">
        <v>3173</v>
      </c>
      <c r="C169" s="1730"/>
      <c r="D169" s="791" t="s">
        <v>3174</v>
      </c>
      <c r="E169" s="1697"/>
      <c r="F169" s="1697"/>
      <c r="G169" s="1697"/>
      <c r="H169" s="1697"/>
      <c r="I169" s="1697"/>
      <c r="J169" s="1697"/>
      <c r="K169" s="1697"/>
      <c r="L169" s="1697"/>
    </row>
    <row r="170" spans="1:12" ht="15" customHeight="1" thickBot="1">
      <c r="B170" s="813" t="s">
        <v>3175</v>
      </c>
      <c r="C170" s="1730"/>
      <c r="D170" s="791" t="s">
        <v>3176</v>
      </c>
      <c r="E170" s="1697"/>
      <c r="F170" s="1697"/>
      <c r="G170" s="1697"/>
      <c r="H170" s="1697"/>
      <c r="I170" s="1697"/>
      <c r="J170" s="1697"/>
      <c r="K170" s="1697"/>
      <c r="L170" s="1697"/>
    </row>
    <row r="171" spans="1:12" ht="15" customHeight="1" thickBot="1">
      <c r="B171" s="813" t="s">
        <v>3177</v>
      </c>
      <c r="C171" s="1730"/>
      <c r="D171" s="791" t="s">
        <v>3178</v>
      </c>
      <c r="E171" s="1697"/>
      <c r="F171" s="1697"/>
      <c r="G171" s="1697"/>
      <c r="H171" s="1697"/>
      <c r="I171" s="1697"/>
      <c r="J171" s="1697"/>
      <c r="K171" s="1697"/>
      <c r="L171" s="1697"/>
    </row>
    <row r="172" spans="1:12" ht="15" customHeight="1" thickBot="1">
      <c r="B172" s="814" t="s">
        <v>3179</v>
      </c>
      <c r="C172" s="1731"/>
      <c r="D172" s="795" t="s">
        <v>3180</v>
      </c>
      <c r="E172" s="1697"/>
      <c r="F172" s="1700"/>
      <c r="G172" s="1697"/>
      <c r="H172" s="1697"/>
      <c r="I172" s="1697"/>
      <c r="J172" s="1697"/>
      <c r="K172" s="1697"/>
      <c r="L172" s="1697"/>
    </row>
    <row r="173" spans="1:12" ht="15" customHeight="1" thickBot="1">
      <c r="B173" s="812" t="s">
        <v>3181</v>
      </c>
      <c r="C173" s="1645" t="s">
        <v>2681</v>
      </c>
      <c r="D173" s="815" t="s">
        <v>3182</v>
      </c>
      <c r="E173" s="1697"/>
      <c r="F173" s="1592">
        <v>11.45833333333333</v>
      </c>
      <c r="G173" s="1660">
        <v>1</v>
      </c>
      <c r="H173" s="1633">
        <v>55.11</v>
      </c>
      <c r="I173" s="1633">
        <v>201.77</v>
      </c>
      <c r="J173" s="1633">
        <v>16</v>
      </c>
      <c r="K173" s="1633">
        <v>881.78</v>
      </c>
      <c r="L173" s="1633">
        <v>3228.36</v>
      </c>
    </row>
    <row r="174" spans="1:12" ht="15" customHeight="1" thickBot="1">
      <c r="B174" s="791" t="s">
        <v>3183</v>
      </c>
      <c r="C174" s="1730"/>
      <c r="D174" s="808" t="s">
        <v>3184</v>
      </c>
      <c r="E174" s="1697"/>
      <c r="F174" s="1697"/>
      <c r="G174" s="1697"/>
      <c r="H174" s="1697"/>
      <c r="I174" s="1697"/>
      <c r="J174" s="1697"/>
      <c r="K174" s="1697"/>
      <c r="L174" s="1697"/>
    </row>
    <row r="175" spans="1:12" ht="15" customHeight="1" thickBot="1">
      <c r="A175" s="703"/>
      <c r="B175" s="795" t="s">
        <v>3185</v>
      </c>
      <c r="C175" s="1731"/>
      <c r="D175" s="810" t="s">
        <v>3186</v>
      </c>
      <c r="E175" s="1700"/>
      <c r="F175" s="1700"/>
      <c r="G175" s="1700"/>
      <c r="H175" s="1700"/>
      <c r="I175" s="1700"/>
      <c r="J175" s="1700"/>
      <c r="K175" s="1700"/>
      <c r="L175" s="1700"/>
    </row>
    <row r="176" spans="1:12" ht="15" customHeight="1" thickBot="1">
      <c r="A176" s="703"/>
      <c r="B176" s="703"/>
      <c r="C176" s="703"/>
      <c r="D176" s="703"/>
      <c r="E176" s="703"/>
      <c r="F176" s="703"/>
      <c r="G176" s="797"/>
      <c r="H176" s="797"/>
      <c r="I176" s="797"/>
      <c r="J176" s="692"/>
      <c r="K176" s="692"/>
      <c r="L176" s="692"/>
    </row>
    <row r="177" spans="1:12" ht="32.1" customHeight="1" thickBot="1">
      <c r="A177" s="692"/>
      <c r="B177" s="1636" t="s">
        <v>3187</v>
      </c>
      <c r="C177" s="1681"/>
      <c r="D177" s="1681"/>
      <c r="E177" s="798"/>
      <c r="F177" s="798"/>
      <c r="G177" s="1598" t="s">
        <v>101</v>
      </c>
      <c r="H177" s="1675"/>
      <c r="I177" s="1675"/>
      <c r="J177" s="1593" t="s">
        <v>102</v>
      </c>
      <c r="K177" s="1675"/>
      <c r="L177" s="1676"/>
    </row>
    <row r="178" spans="1:12" ht="15" customHeight="1" thickBot="1">
      <c r="A178" s="687"/>
      <c r="B178" s="717" t="s">
        <v>103</v>
      </c>
      <c r="C178" s="717" t="s">
        <v>104</v>
      </c>
      <c r="D178" s="799" t="s">
        <v>105</v>
      </c>
      <c r="E178" s="718" t="s">
        <v>106</v>
      </c>
      <c r="F178" s="718" t="s">
        <v>107</v>
      </c>
      <c r="G178" s="697" t="s">
        <v>108</v>
      </c>
      <c r="H178" s="698" t="s">
        <v>109</v>
      </c>
      <c r="I178" s="699" t="s">
        <v>110</v>
      </c>
      <c r="J178" s="800" t="s">
        <v>111</v>
      </c>
      <c r="K178" s="801" t="s">
        <v>109</v>
      </c>
      <c r="L178" s="802" t="s">
        <v>110</v>
      </c>
    </row>
    <row r="179" spans="1:12" ht="14.1" customHeight="1" thickBot="1">
      <c r="A179" s="687"/>
      <c r="B179" s="803" t="s">
        <v>3188</v>
      </c>
      <c r="C179" s="1594" t="s">
        <v>114</v>
      </c>
      <c r="D179" s="816" t="s">
        <v>3189</v>
      </c>
      <c r="E179" s="1659" t="s">
        <v>109</v>
      </c>
      <c r="F179" s="1592">
        <v>4.5138888888888893</v>
      </c>
      <c r="G179" s="1595">
        <v>8</v>
      </c>
      <c r="H179" s="1584">
        <v>15.5</v>
      </c>
      <c r="I179" s="1585">
        <f>24*2.205</f>
        <v>52.92</v>
      </c>
      <c r="J179" s="1595">
        <v>48</v>
      </c>
      <c r="K179" s="1584">
        <f>J179*H179</f>
        <v>744</v>
      </c>
      <c r="L179" s="1585">
        <f>J179*I179</f>
        <v>2540.16</v>
      </c>
    </row>
    <row r="180" spans="1:12" ht="16.350000000000001" customHeight="1" thickBot="1">
      <c r="A180" s="687"/>
      <c r="B180" s="806" t="s">
        <v>3190</v>
      </c>
      <c r="C180" s="1697"/>
      <c r="D180" s="817" t="s">
        <v>3191</v>
      </c>
      <c r="E180" s="1697"/>
      <c r="F180" s="1700"/>
      <c r="G180" s="1686"/>
      <c r="H180" s="1687"/>
      <c r="I180" s="1689"/>
      <c r="J180" s="1686"/>
      <c r="K180" s="1687"/>
      <c r="L180" s="1689"/>
    </row>
    <row r="181" spans="1:12" ht="16.350000000000001" customHeight="1" thickBot="1">
      <c r="A181" s="687"/>
      <c r="B181" s="803" t="s">
        <v>3192</v>
      </c>
      <c r="C181" s="1697"/>
      <c r="D181" s="816" t="s">
        <v>3193</v>
      </c>
      <c r="E181" s="1697"/>
      <c r="F181" s="1592">
        <v>2.638888888888888</v>
      </c>
      <c r="G181" s="1686"/>
      <c r="H181" s="1687"/>
      <c r="I181" s="1689"/>
      <c r="J181" s="1686"/>
      <c r="K181" s="1687"/>
      <c r="L181" s="1689"/>
    </row>
    <row r="182" spans="1:12" ht="15" customHeight="1" thickBot="1">
      <c r="A182" s="703" t="s">
        <v>112</v>
      </c>
      <c r="B182" s="804" t="s">
        <v>3194</v>
      </c>
      <c r="C182" s="1697"/>
      <c r="D182" s="818" t="s">
        <v>3195</v>
      </c>
      <c r="E182" s="1697"/>
      <c r="F182" s="1697"/>
      <c r="G182" s="1686"/>
      <c r="H182" s="1687"/>
      <c r="I182" s="1689"/>
      <c r="J182" s="1686"/>
      <c r="K182" s="1687"/>
      <c r="L182" s="1689"/>
    </row>
    <row r="183" spans="1:12" ht="15" customHeight="1" thickBot="1">
      <c r="A183" s="687"/>
      <c r="B183" s="804" t="s">
        <v>3196</v>
      </c>
      <c r="C183" s="1697"/>
      <c r="D183" s="818" t="s">
        <v>3197</v>
      </c>
      <c r="E183" s="1697"/>
      <c r="F183" s="1697"/>
      <c r="G183" s="1686"/>
      <c r="H183" s="1687"/>
      <c r="I183" s="1689"/>
      <c r="J183" s="1686"/>
      <c r="K183" s="1687"/>
      <c r="L183" s="1689"/>
    </row>
    <row r="184" spans="1:12" ht="15" customHeight="1" thickBot="1">
      <c r="A184" s="692"/>
      <c r="B184" s="806" t="s">
        <v>3198</v>
      </c>
      <c r="C184" s="1700"/>
      <c r="D184" s="817" t="s">
        <v>3199</v>
      </c>
      <c r="E184" s="1700"/>
      <c r="F184" s="1700"/>
      <c r="G184" s="1690"/>
      <c r="H184" s="1692"/>
      <c r="I184" s="1694"/>
      <c r="J184" s="1690"/>
      <c r="K184" s="1692"/>
      <c r="L184" s="1694"/>
    </row>
    <row r="185" spans="1:12" ht="14.85" customHeight="1" thickBot="1">
      <c r="B185" s="712" t="s">
        <v>2971</v>
      </c>
      <c r="C185" s="713"/>
      <c r="D185" s="819"/>
      <c r="E185" s="713"/>
      <c r="F185" s="713"/>
      <c r="G185" s="713"/>
      <c r="H185" s="728"/>
      <c r="I185" s="728"/>
      <c r="J185" s="713"/>
      <c r="K185" s="728"/>
      <c r="L185" s="728"/>
    </row>
    <row r="186" spans="1:12" ht="32.25" customHeight="1" thickBot="1">
      <c r="A186" s="716"/>
      <c r="B186" s="691" t="s">
        <v>3200</v>
      </c>
      <c r="C186" s="748"/>
      <c r="G186" s="1598" t="s">
        <v>101</v>
      </c>
      <c r="H186" s="1675"/>
      <c r="I186" s="1675"/>
      <c r="J186" s="1593" t="s">
        <v>102</v>
      </c>
      <c r="K186" s="1675"/>
      <c r="L186" s="1676"/>
    </row>
    <row r="187" spans="1:12" ht="15" customHeight="1" thickBot="1">
      <c r="B187" s="717" t="s">
        <v>103</v>
      </c>
      <c r="C187" s="717" t="s">
        <v>104</v>
      </c>
      <c r="D187" s="730" t="s">
        <v>105</v>
      </c>
      <c r="E187" s="718" t="s">
        <v>106</v>
      </c>
      <c r="F187" s="718" t="s">
        <v>107</v>
      </c>
      <c r="G187" s="697" t="s">
        <v>108</v>
      </c>
      <c r="H187" s="698" t="s">
        <v>109</v>
      </c>
      <c r="I187" s="699" t="s">
        <v>110</v>
      </c>
      <c r="J187" s="800" t="s">
        <v>111</v>
      </c>
      <c r="K187" s="801" t="s">
        <v>109</v>
      </c>
      <c r="L187" s="802" t="s">
        <v>110</v>
      </c>
    </row>
    <row r="188" spans="1:12" ht="14.85" customHeight="1" thickBot="1">
      <c r="A188" s="703" t="s">
        <v>143</v>
      </c>
      <c r="B188" s="820" t="s">
        <v>3201</v>
      </c>
      <c r="C188" s="1640" t="s">
        <v>114</v>
      </c>
      <c r="D188" s="821" t="s">
        <v>3202</v>
      </c>
      <c r="E188" s="1594" t="s">
        <v>109</v>
      </c>
      <c r="F188" s="1592">
        <v>5.9027777777777768</v>
      </c>
      <c r="G188" s="1595">
        <v>4</v>
      </c>
      <c r="H188" s="1584">
        <v>8.18</v>
      </c>
      <c r="I188" s="1585">
        <v>33.94</v>
      </c>
      <c r="J188" s="1595">
        <v>44</v>
      </c>
      <c r="K188" s="1584">
        <v>357.67</v>
      </c>
      <c r="L188" s="1585">
        <v>1493.34</v>
      </c>
    </row>
    <row r="189" spans="1:12" ht="14.85" customHeight="1" thickBot="1">
      <c r="A189" s="703"/>
      <c r="B189" s="822" t="s">
        <v>3203</v>
      </c>
      <c r="C189" s="1697"/>
      <c r="D189" s="736" t="s">
        <v>3204</v>
      </c>
      <c r="E189" s="1697"/>
      <c r="F189" s="1697"/>
      <c r="G189" s="1686"/>
      <c r="H189" s="1687"/>
      <c r="I189" s="1689"/>
      <c r="J189" s="1686"/>
      <c r="K189" s="1687"/>
      <c r="L189" s="1689"/>
    </row>
    <row r="190" spans="1:12" ht="14.85" customHeight="1" thickBot="1">
      <c r="B190" s="784" t="s">
        <v>3205</v>
      </c>
      <c r="C190" s="1700"/>
      <c r="D190" s="823" t="s">
        <v>3206</v>
      </c>
      <c r="E190" s="1700"/>
      <c r="F190" s="1700"/>
      <c r="G190" s="1690"/>
      <c r="H190" s="1692"/>
      <c r="I190" s="1694"/>
      <c r="J190" s="1690"/>
      <c r="K190" s="1692"/>
      <c r="L190" s="1694"/>
    </row>
    <row r="191" spans="1:12" ht="15" customHeight="1" thickBot="1">
      <c r="A191" s="692"/>
      <c r="B191" s="736"/>
      <c r="C191" s="713"/>
      <c r="D191" s="692"/>
      <c r="E191" s="713"/>
      <c r="F191" s="713"/>
      <c r="G191" s="824"/>
      <c r="H191" s="728"/>
      <c r="I191" s="728"/>
      <c r="J191" s="713"/>
      <c r="K191" s="728"/>
      <c r="L191" s="728"/>
    </row>
    <row r="192" spans="1:12" ht="32.1" customHeight="1" thickBot="1">
      <c r="B192" s="691" t="s">
        <v>3207</v>
      </c>
      <c r="E192" s="713"/>
      <c r="F192" s="713"/>
      <c r="G192" s="1598" t="s">
        <v>101</v>
      </c>
      <c r="H192" s="1675"/>
      <c r="I192" s="1675"/>
      <c r="J192" s="1593" t="s">
        <v>102</v>
      </c>
      <c r="K192" s="1675"/>
      <c r="L192" s="1676"/>
    </row>
    <row r="193" spans="1:12" ht="15" customHeight="1" thickBot="1">
      <c r="B193" s="717" t="s">
        <v>103</v>
      </c>
      <c r="C193" s="717" t="s">
        <v>104</v>
      </c>
      <c r="D193" s="730" t="s">
        <v>105</v>
      </c>
      <c r="E193" s="718" t="s">
        <v>106</v>
      </c>
      <c r="F193" s="718" t="s">
        <v>107</v>
      </c>
      <c r="G193" s="700" t="s">
        <v>108</v>
      </c>
      <c r="H193" s="698" t="s">
        <v>109</v>
      </c>
      <c r="I193" s="699" t="s">
        <v>110</v>
      </c>
      <c r="J193" s="800" t="s">
        <v>111</v>
      </c>
      <c r="K193" s="801" t="s">
        <v>109</v>
      </c>
      <c r="L193" s="802" t="s">
        <v>110</v>
      </c>
    </row>
    <row r="194" spans="1:12" ht="15" customHeight="1" thickBot="1">
      <c r="A194" s="703" t="s">
        <v>112</v>
      </c>
      <c r="B194" s="825" t="s">
        <v>3208</v>
      </c>
      <c r="C194" s="706" t="s">
        <v>3209</v>
      </c>
      <c r="D194" s="825" t="s">
        <v>3210</v>
      </c>
      <c r="E194" s="706" t="s">
        <v>109</v>
      </c>
      <c r="F194" s="707">
        <v>6.770833333333333</v>
      </c>
      <c r="G194" s="826">
        <v>10</v>
      </c>
      <c r="H194" s="827">
        <v>9.69</v>
      </c>
      <c r="I194" s="828">
        <v>36.049999999999997</v>
      </c>
      <c r="J194" s="829">
        <v>56</v>
      </c>
      <c r="K194" s="830">
        <v>542.51</v>
      </c>
      <c r="L194" s="831">
        <v>2018.8</v>
      </c>
    </row>
    <row r="195" spans="1:12" ht="15" customHeight="1" thickBot="1">
      <c r="A195" s="703"/>
      <c r="B195" s="703"/>
      <c r="C195" s="703"/>
      <c r="D195" s="703"/>
      <c r="E195" s="703"/>
      <c r="F195" s="703"/>
      <c r="G195" s="797"/>
      <c r="H195" s="797"/>
      <c r="I195" s="797"/>
      <c r="J195" s="692"/>
      <c r="K195" s="692"/>
      <c r="L195" s="692"/>
    </row>
    <row r="196" spans="1:12" ht="32.1" customHeight="1" thickBot="1">
      <c r="A196" s="692"/>
      <c r="B196" s="1644" t="s">
        <v>3211</v>
      </c>
      <c r="C196" s="1681"/>
      <c r="D196" s="1681"/>
      <c r="E196" s="798"/>
      <c r="F196" s="798"/>
      <c r="G196" s="1598" t="s">
        <v>101</v>
      </c>
      <c r="H196" s="1675"/>
      <c r="I196" s="1675"/>
      <c r="J196" s="1593" t="s">
        <v>102</v>
      </c>
      <c r="K196" s="1675"/>
      <c r="L196" s="1676"/>
    </row>
    <row r="197" spans="1:12" ht="15" customHeight="1" thickBot="1">
      <c r="A197" s="687"/>
      <c r="B197" s="717" t="s">
        <v>103</v>
      </c>
      <c r="C197" s="717" t="s">
        <v>104</v>
      </c>
      <c r="D197" s="799" t="s">
        <v>105</v>
      </c>
      <c r="E197" s="696" t="s">
        <v>106</v>
      </c>
      <c r="F197" s="718" t="s">
        <v>107</v>
      </c>
      <c r="G197" s="700" t="s">
        <v>108</v>
      </c>
      <c r="H197" s="701" t="s">
        <v>109</v>
      </c>
      <c r="I197" s="702" t="s">
        <v>110</v>
      </c>
      <c r="J197" s="800" t="s">
        <v>111</v>
      </c>
      <c r="K197" s="801" t="s">
        <v>109</v>
      </c>
      <c r="L197" s="802" t="s">
        <v>110</v>
      </c>
    </row>
    <row r="198" spans="1:12" ht="15" customHeight="1" thickBot="1">
      <c r="A198" s="703" t="s">
        <v>143</v>
      </c>
      <c r="B198" s="832" t="s">
        <v>3212</v>
      </c>
      <c r="C198" s="747" t="s">
        <v>278</v>
      </c>
      <c r="D198" s="704" t="s">
        <v>3213</v>
      </c>
      <c r="E198" s="833" t="s">
        <v>109</v>
      </c>
      <c r="F198" s="707">
        <v>4.5138888888888893</v>
      </c>
      <c r="G198" s="734">
        <v>4</v>
      </c>
      <c r="H198" s="735">
        <v>11.63</v>
      </c>
      <c r="I198" s="834">
        <v>42.98</v>
      </c>
      <c r="J198" s="708">
        <v>44</v>
      </c>
      <c r="K198" s="709">
        <v>512.64</v>
      </c>
      <c r="L198" s="710">
        <v>1891.12</v>
      </c>
    </row>
    <row r="199" spans="1:12" ht="15" customHeight="1" thickBot="1">
      <c r="A199" s="703"/>
      <c r="B199" s="736"/>
      <c r="C199" s="713"/>
      <c r="D199" s="736"/>
      <c r="E199" s="713"/>
      <c r="F199" s="713"/>
      <c r="G199" s="835"/>
      <c r="H199" s="836"/>
      <c r="I199" s="836"/>
      <c r="J199" s="835"/>
      <c r="K199" s="836"/>
      <c r="L199" s="836"/>
    </row>
    <row r="200" spans="1:12" ht="32.1" customHeight="1" thickBot="1">
      <c r="B200" s="691" t="s">
        <v>3214</v>
      </c>
      <c r="G200" s="1593" t="s">
        <v>101</v>
      </c>
      <c r="H200" s="1675"/>
      <c r="I200" s="1676"/>
      <c r="J200" s="1593" t="s">
        <v>102</v>
      </c>
      <c r="K200" s="1675"/>
      <c r="L200" s="1676"/>
    </row>
    <row r="201" spans="1:12" ht="15" customHeight="1" thickBot="1">
      <c r="B201" s="717" t="s">
        <v>103</v>
      </c>
      <c r="C201" s="717" t="s">
        <v>104</v>
      </c>
      <c r="D201" s="730" t="s">
        <v>105</v>
      </c>
      <c r="E201" s="718" t="s">
        <v>106</v>
      </c>
      <c r="F201" s="718" t="s">
        <v>107</v>
      </c>
      <c r="G201" s="697" t="s">
        <v>108</v>
      </c>
      <c r="H201" s="698" t="s">
        <v>109</v>
      </c>
      <c r="I201" s="699" t="s">
        <v>110</v>
      </c>
      <c r="J201" s="697" t="s">
        <v>111</v>
      </c>
      <c r="K201" s="698" t="s">
        <v>109</v>
      </c>
      <c r="L201" s="699" t="s">
        <v>110</v>
      </c>
    </row>
    <row r="202" spans="1:12">
      <c r="A202" s="703" t="s">
        <v>143</v>
      </c>
      <c r="B202" s="731" t="s">
        <v>3215</v>
      </c>
      <c r="C202" s="1610" t="s">
        <v>3216</v>
      </c>
      <c r="D202" s="731" t="s">
        <v>3217</v>
      </c>
      <c r="E202" s="1594" t="s">
        <v>109</v>
      </c>
      <c r="F202" s="1592">
        <v>5.9027777777777768</v>
      </c>
      <c r="G202" s="1595">
        <v>38</v>
      </c>
      <c r="H202" s="1584">
        <v>8.07</v>
      </c>
      <c r="I202" s="1585">
        <v>22.56</v>
      </c>
      <c r="J202" s="1595">
        <v>80</v>
      </c>
      <c r="K202" s="1584">
        <v>645.84</v>
      </c>
      <c r="L202" s="1599">
        <v>1828.8</v>
      </c>
    </row>
    <row r="203" spans="1:12" ht="15" customHeight="1">
      <c r="B203" s="805" t="s">
        <v>3218</v>
      </c>
      <c r="C203" s="1680"/>
      <c r="D203" s="805" t="s">
        <v>3219</v>
      </c>
      <c r="E203" s="1697"/>
      <c r="F203" s="1697"/>
      <c r="G203" s="1686"/>
      <c r="H203" s="1687"/>
      <c r="I203" s="1689"/>
      <c r="J203" s="1686"/>
      <c r="K203" s="1687"/>
      <c r="L203" s="1689"/>
    </row>
    <row r="204" spans="1:12" ht="15" customHeight="1" thickBot="1">
      <c r="B204" s="837" t="s">
        <v>3220</v>
      </c>
      <c r="C204" s="1680"/>
      <c r="D204" s="805" t="s">
        <v>3221</v>
      </c>
      <c r="E204" s="1697"/>
      <c r="F204" s="1700"/>
      <c r="G204" s="1686"/>
      <c r="H204" s="1687"/>
      <c r="I204" s="1689"/>
      <c r="J204" s="1686"/>
      <c r="K204" s="1687"/>
      <c r="L204" s="1689"/>
    </row>
    <row r="205" spans="1:12" ht="15" customHeight="1">
      <c r="B205" s="838" t="s">
        <v>3222</v>
      </c>
      <c r="C205" s="1680"/>
      <c r="D205" s="805" t="s">
        <v>3223</v>
      </c>
      <c r="E205" s="1697"/>
      <c r="F205" s="1592">
        <v>8.3333333333333339</v>
      </c>
      <c r="G205" s="1686"/>
      <c r="H205" s="1687"/>
      <c r="I205" s="1689"/>
      <c r="J205" s="1686"/>
      <c r="K205" s="1687"/>
      <c r="L205" s="1689"/>
    </row>
    <row r="206" spans="1:12" ht="15" customHeight="1">
      <c r="B206" s="838" t="s">
        <v>3224</v>
      </c>
      <c r="C206" s="1680"/>
      <c r="D206" s="805" t="s">
        <v>3225</v>
      </c>
      <c r="E206" s="1697"/>
      <c r="F206" s="1697"/>
      <c r="G206" s="1686"/>
      <c r="H206" s="1687"/>
      <c r="I206" s="1689"/>
      <c r="J206" s="1686"/>
      <c r="K206" s="1687"/>
      <c r="L206" s="1689"/>
    </row>
    <row r="207" spans="1:12" ht="15" customHeight="1" thickBot="1">
      <c r="B207" s="785" t="s">
        <v>3226</v>
      </c>
      <c r="C207" s="1681"/>
      <c r="D207" s="742" t="s">
        <v>3227</v>
      </c>
      <c r="E207" s="1700"/>
      <c r="F207" s="1700"/>
      <c r="G207" s="1690"/>
      <c r="H207" s="1692"/>
      <c r="I207" s="1694"/>
      <c r="J207" s="1690"/>
      <c r="K207" s="1692"/>
      <c r="L207" s="1694"/>
    </row>
    <row r="208" spans="1:12" ht="15" customHeight="1" thickBot="1">
      <c r="A208" s="703"/>
      <c r="B208" s="703"/>
      <c r="C208" s="703"/>
      <c r="D208" s="703"/>
      <c r="E208" s="703"/>
      <c r="F208" s="703"/>
      <c r="G208" s="797"/>
      <c r="H208" s="797"/>
      <c r="I208" s="797"/>
      <c r="J208" s="797"/>
      <c r="K208" s="797"/>
      <c r="L208" s="797"/>
    </row>
    <row r="209" spans="1:12" ht="32.1" customHeight="1" thickBot="1">
      <c r="A209" s="692"/>
      <c r="B209" s="1644" t="s">
        <v>3228</v>
      </c>
      <c r="C209" s="1681"/>
      <c r="D209" s="1681"/>
      <c r="E209" s="798"/>
      <c r="F209" s="798"/>
      <c r="G209" s="1593" t="s">
        <v>101</v>
      </c>
      <c r="H209" s="1675"/>
      <c r="I209" s="1676"/>
      <c r="J209" s="1593" t="s">
        <v>102</v>
      </c>
      <c r="K209" s="1675"/>
      <c r="L209" s="1676"/>
    </row>
    <row r="210" spans="1:12" ht="15" customHeight="1" thickBot="1">
      <c r="A210" s="687"/>
      <c r="B210" s="717" t="s">
        <v>103</v>
      </c>
      <c r="C210" s="717" t="s">
        <v>104</v>
      </c>
      <c r="D210" s="799" t="s">
        <v>105</v>
      </c>
      <c r="E210" s="696" t="s">
        <v>106</v>
      </c>
      <c r="F210" s="718" t="s">
        <v>107</v>
      </c>
      <c r="G210" s="700" t="s">
        <v>108</v>
      </c>
      <c r="H210" s="701" t="s">
        <v>109</v>
      </c>
      <c r="I210" s="702" t="s">
        <v>110</v>
      </c>
      <c r="J210" s="697" t="s">
        <v>111</v>
      </c>
      <c r="K210" s="698" t="s">
        <v>109</v>
      </c>
      <c r="L210" s="699" t="s">
        <v>110</v>
      </c>
    </row>
    <row r="211" spans="1:12" ht="15" customHeight="1" thickBot="1">
      <c r="A211" s="703" t="s">
        <v>112</v>
      </c>
      <c r="B211" s="832" t="s">
        <v>3229</v>
      </c>
      <c r="C211" s="706" t="s">
        <v>377</v>
      </c>
      <c r="D211" s="704" t="s">
        <v>3230</v>
      </c>
      <c r="E211" s="706" t="s">
        <v>109</v>
      </c>
      <c r="F211" s="707">
        <v>3.1597222222222219</v>
      </c>
      <c r="G211" s="708">
        <v>3</v>
      </c>
      <c r="H211" s="709">
        <f>2.43*10.764</f>
        <v>26.15652</v>
      </c>
      <c r="I211" s="710">
        <f>40*2.205</f>
        <v>88.2</v>
      </c>
      <c r="J211" s="708">
        <v>40</v>
      </c>
      <c r="K211" s="709">
        <f>J211*H211</f>
        <v>1046.2608</v>
      </c>
      <c r="L211" s="710">
        <f>J211*I211</f>
        <v>3528</v>
      </c>
    </row>
    <row r="212" spans="1:12" ht="15" customHeight="1" thickBot="1">
      <c r="A212" s="703"/>
      <c r="B212" s="703"/>
      <c r="C212" s="703"/>
      <c r="D212" s="703"/>
      <c r="E212" s="703"/>
      <c r="F212" s="703"/>
      <c r="G212" s="797"/>
      <c r="H212" s="797"/>
      <c r="I212" s="797"/>
      <c r="J212" s="797"/>
      <c r="K212" s="797"/>
      <c r="L212" s="797"/>
    </row>
    <row r="213" spans="1:12" ht="32.1" customHeight="1" thickBot="1">
      <c r="A213" s="692"/>
      <c r="B213" s="1644" t="s">
        <v>3231</v>
      </c>
      <c r="C213" s="1681"/>
      <c r="D213" s="1681"/>
      <c r="E213" s="798"/>
      <c r="F213" s="798"/>
      <c r="G213" s="1593" t="s">
        <v>101</v>
      </c>
      <c r="H213" s="1675"/>
      <c r="I213" s="1676"/>
      <c r="J213" s="1629" t="s">
        <v>102</v>
      </c>
      <c r="K213" s="1716"/>
      <c r="L213" s="1717"/>
    </row>
    <row r="214" spans="1:12" ht="15" customHeight="1" thickBot="1">
      <c r="A214" s="687"/>
      <c r="B214" s="694" t="s">
        <v>103</v>
      </c>
      <c r="C214" s="839" t="s">
        <v>104</v>
      </c>
      <c r="D214" s="695" t="s">
        <v>105</v>
      </c>
      <c r="E214" s="840" t="s">
        <v>106</v>
      </c>
      <c r="F214" s="718" t="s">
        <v>107</v>
      </c>
      <c r="G214" s="700" t="s">
        <v>108</v>
      </c>
      <c r="H214" s="701" t="s">
        <v>109</v>
      </c>
      <c r="I214" s="841" t="s">
        <v>110</v>
      </c>
      <c r="J214" s="700" t="s">
        <v>111</v>
      </c>
      <c r="K214" s="701" t="s">
        <v>109</v>
      </c>
      <c r="L214" s="702" t="s">
        <v>110</v>
      </c>
    </row>
    <row r="215" spans="1:12" ht="15" customHeight="1">
      <c r="A215" s="703"/>
      <c r="B215" s="842" t="s">
        <v>3232</v>
      </c>
      <c r="C215" s="1615" t="s">
        <v>268</v>
      </c>
      <c r="D215" s="953" t="s">
        <v>3233</v>
      </c>
      <c r="E215" s="1655" t="s">
        <v>109</v>
      </c>
      <c r="F215" s="1625">
        <v>4.7222222222222232</v>
      </c>
      <c r="G215" s="1641">
        <v>2</v>
      </c>
      <c r="H215" s="1607">
        <v>30.74</v>
      </c>
      <c r="I215" s="1600">
        <f>49.12*2.205</f>
        <v>108.3096</v>
      </c>
      <c r="J215" s="1641">
        <v>64</v>
      </c>
      <c r="K215" s="1607">
        <f>J215*H215</f>
        <v>1967.36</v>
      </c>
      <c r="L215" s="1600">
        <f>J215*I215</f>
        <v>6931.8144000000002</v>
      </c>
    </row>
    <row r="216" spans="1:12" ht="15" customHeight="1" thickBot="1">
      <c r="A216" s="703"/>
      <c r="B216" s="804" t="s">
        <v>3234</v>
      </c>
      <c r="C216" s="1697"/>
      <c r="D216" s="818" t="s">
        <v>3235</v>
      </c>
      <c r="E216" s="1740"/>
      <c r="F216" s="1758"/>
      <c r="G216" s="1686"/>
      <c r="H216" s="1687"/>
      <c r="I216" s="1689"/>
      <c r="J216" s="1686"/>
      <c r="K216" s="1687"/>
      <c r="L216" s="1689"/>
    </row>
    <row r="217" spans="1:12" ht="15" customHeight="1">
      <c r="A217" s="687"/>
      <c r="B217" s="804" t="s">
        <v>3236</v>
      </c>
      <c r="C217" s="1697"/>
      <c r="D217" s="818" t="s">
        <v>3237</v>
      </c>
      <c r="E217" s="1740"/>
      <c r="F217" s="1592">
        <v>4.8611111111111107</v>
      </c>
      <c r="G217" s="1686"/>
      <c r="H217" s="1687"/>
      <c r="I217" s="1689"/>
      <c r="J217" s="1686"/>
      <c r="K217" s="1687"/>
      <c r="L217" s="1689"/>
    </row>
    <row r="218" spans="1:12" ht="15" customHeight="1" thickBot="1">
      <c r="A218" s="692"/>
      <c r="B218" s="806" t="s">
        <v>3238</v>
      </c>
      <c r="C218" s="1700"/>
      <c r="D218" s="817" t="s">
        <v>3239</v>
      </c>
      <c r="E218" s="1741"/>
      <c r="F218" s="1700"/>
      <c r="G218" s="1690"/>
      <c r="H218" s="1692"/>
      <c r="I218" s="1694"/>
      <c r="J218" s="1690"/>
      <c r="K218" s="1692"/>
      <c r="L218" s="1694"/>
    </row>
    <row r="219" spans="1:12" ht="15.6" customHeight="1" thickBot="1">
      <c r="B219" s="843"/>
      <c r="C219" s="713"/>
      <c r="D219" s="692"/>
      <c r="E219" s="713"/>
      <c r="F219" s="713"/>
      <c r="G219" s="713"/>
      <c r="H219" s="728"/>
      <c r="I219" s="728"/>
      <c r="J219" s="713"/>
      <c r="K219" s="728"/>
      <c r="L219" s="728"/>
    </row>
    <row r="220" spans="1:12" s="4" customFormat="1" ht="32.1" customHeight="1" thickBot="1">
      <c r="A220" s="703"/>
      <c r="B220" s="844" t="s">
        <v>3240</v>
      </c>
      <c r="C220" s="687"/>
      <c r="D220" s="687"/>
      <c r="E220" s="688"/>
      <c r="F220" s="688"/>
      <c r="G220" s="1593" t="s">
        <v>101</v>
      </c>
      <c r="H220" s="1675"/>
      <c r="I220" s="1676"/>
      <c r="J220" s="1593" t="s">
        <v>102</v>
      </c>
      <c r="K220" s="1675"/>
      <c r="L220" s="1676"/>
    </row>
    <row r="221" spans="1:12" s="4" customFormat="1" ht="15" customHeight="1" thickBot="1">
      <c r="A221" s="703"/>
      <c r="B221" s="717" t="s">
        <v>103</v>
      </c>
      <c r="C221" s="717" t="s">
        <v>104</v>
      </c>
      <c r="D221" s="730" t="s">
        <v>105</v>
      </c>
      <c r="E221" s="718" t="s">
        <v>106</v>
      </c>
      <c r="F221" s="718" t="s">
        <v>107</v>
      </c>
      <c r="G221" s="697" t="s">
        <v>108</v>
      </c>
      <c r="H221" s="698" t="s">
        <v>109</v>
      </c>
      <c r="I221" s="699" t="s">
        <v>110</v>
      </c>
      <c r="J221" s="741" t="s">
        <v>111</v>
      </c>
      <c r="K221" s="698" t="s">
        <v>109</v>
      </c>
      <c r="L221" s="699" t="s">
        <v>110</v>
      </c>
    </row>
    <row r="222" spans="1:12" s="4" customFormat="1" ht="15" customHeight="1" thickBot="1">
      <c r="A222" s="703" t="s">
        <v>112</v>
      </c>
      <c r="B222" s="769" t="s">
        <v>3241</v>
      </c>
      <c r="C222" s="706" t="s">
        <v>377</v>
      </c>
      <c r="D222" s="769" t="s">
        <v>3242</v>
      </c>
      <c r="E222" s="845" t="s">
        <v>109</v>
      </c>
      <c r="F222" s="707">
        <v>3.4375</v>
      </c>
      <c r="G222" s="708">
        <v>2</v>
      </c>
      <c r="H222" s="709">
        <v>13.78</v>
      </c>
      <c r="I222" s="710">
        <v>59.93</v>
      </c>
      <c r="J222" s="708">
        <v>42</v>
      </c>
      <c r="K222" s="709">
        <v>578.66999999999996</v>
      </c>
      <c r="L222" s="710">
        <v>2517.12</v>
      </c>
    </row>
    <row r="223" spans="1:12" ht="15" customHeight="1" thickBot="1">
      <c r="A223" s="703"/>
      <c r="B223" s="703"/>
      <c r="C223" s="703"/>
      <c r="D223" s="703"/>
      <c r="E223" s="703"/>
      <c r="F223" s="703"/>
      <c r="G223" s="797"/>
      <c r="H223" s="797"/>
      <c r="I223" s="797"/>
      <c r="J223" s="797"/>
      <c r="K223" s="797"/>
      <c r="L223" s="797"/>
    </row>
    <row r="224" spans="1:12" ht="32.1" customHeight="1" thickBot="1">
      <c r="A224" s="692"/>
      <c r="B224" s="1644" t="s">
        <v>3243</v>
      </c>
      <c r="C224" s="1681"/>
      <c r="D224" s="1681"/>
      <c r="E224" s="798"/>
      <c r="F224" s="798"/>
      <c r="G224" s="1593" t="s">
        <v>101</v>
      </c>
      <c r="H224" s="1675"/>
      <c r="I224" s="1676"/>
      <c r="J224" s="1593" t="s">
        <v>102</v>
      </c>
      <c r="K224" s="1675"/>
      <c r="L224" s="1676"/>
    </row>
    <row r="225" spans="1:12" ht="15" customHeight="1" thickBot="1">
      <c r="A225" s="687"/>
      <c r="B225" s="717" t="s">
        <v>103</v>
      </c>
      <c r="C225" s="717" t="s">
        <v>104</v>
      </c>
      <c r="D225" s="799" t="s">
        <v>105</v>
      </c>
      <c r="E225" s="696" t="s">
        <v>106</v>
      </c>
      <c r="F225" s="718" t="s">
        <v>107</v>
      </c>
      <c r="G225" s="700" t="s">
        <v>108</v>
      </c>
      <c r="H225" s="701" t="s">
        <v>109</v>
      </c>
      <c r="I225" s="702" t="s">
        <v>110</v>
      </c>
      <c r="J225" s="697" t="s">
        <v>111</v>
      </c>
      <c r="K225" s="698" t="s">
        <v>109</v>
      </c>
      <c r="L225" s="699" t="s">
        <v>110</v>
      </c>
    </row>
    <row r="226" spans="1:12">
      <c r="A226" s="703" t="s">
        <v>112</v>
      </c>
      <c r="B226" s="846" t="s">
        <v>3244</v>
      </c>
      <c r="C226" s="1594" t="s">
        <v>278</v>
      </c>
      <c r="D226" s="731" t="s">
        <v>3245</v>
      </c>
      <c r="E226" s="1594" t="s">
        <v>109</v>
      </c>
      <c r="F226" s="1592">
        <v>4.5138888888888893</v>
      </c>
      <c r="G226" s="1595">
        <v>3</v>
      </c>
      <c r="H226" s="1584">
        <v>8.7200000000000006</v>
      </c>
      <c r="I226" s="1585">
        <v>41.83</v>
      </c>
      <c r="J226" s="1595">
        <v>36</v>
      </c>
      <c r="K226" s="1584">
        <v>314.57</v>
      </c>
      <c r="L226" s="1585">
        <v>1505.75</v>
      </c>
    </row>
    <row r="227" spans="1:12" ht="15" customHeight="1">
      <c r="A227" s="687"/>
      <c r="B227" s="847" t="s">
        <v>3246</v>
      </c>
      <c r="C227" s="1697"/>
      <c r="D227" s="805" t="s">
        <v>3247</v>
      </c>
      <c r="E227" s="1697"/>
      <c r="F227" s="1697"/>
      <c r="G227" s="1686"/>
      <c r="H227" s="1687"/>
      <c r="I227" s="1689"/>
      <c r="J227" s="1686"/>
      <c r="K227" s="1687"/>
      <c r="L227" s="1689"/>
    </row>
    <row r="228" spans="1:12" ht="15" customHeight="1" thickBot="1">
      <c r="A228" s="692"/>
      <c r="B228" s="848" t="s">
        <v>3248</v>
      </c>
      <c r="C228" s="1700"/>
      <c r="D228" s="742" t="s">
        <v>3249</v>
      </c>
      <c r="E228" s="1700"/>
      <c r="F228" s="1700"/>
      <c r="G228" s="1690"/>
      <c r="H228" s="1692"/>
      <c r="I228" s="1694"/>
      <c r="J228" s="1690"/>
      <c r="K228" s="1692"/>
      <c r="L228" s="1694"/>
    </row>
    <row r="229" spans="1:12" ht="14.85" customHeight="1" thickBot="1">
      <c r="B229" s="736"/>
      <c r="C229" s="713"/>
      <c r="D229" s="819"/>
      <c r="E229" s="713"/>
      <c r="F229" s="713"/>
      <c r="G229" s="713"/>
      <c r="H229" s="728"/>
      <c r="I229" s="728"/>
      <c r="J229" s="713"/>
      <c r="K229" s="728"/>
      <c r="L229" s="728"/>
    </row>
    <row r="230" spans="1:12" ht="32.25" customHeight="1" thickBot="1">
      <c r="A230" s="716"/>
      <c r="B230" s="691" t="s">
        <v>3250</v>
      </c>
      <c r="C230" s="748"/>
      <c r="G230" s="1593" t="s">
        <v>101</v>
      </c>
      <c r="H230" s="1675"/>
      <c r="I230" s="1676"/>
      <c r="J230" s="1593" t="s">
        <v>102</v>
      </c>
      <c r="K230" s="1675"/>
      <c r="L230" s="1676"/>
    </row>
    <row r="231" spans="1:12" ht="15" customHeight="1" thickBot="1">
      <c r="B231" s="717" t="s">
        <v>103</v>
      </c>
      <c r="C231" s="717" t="s">
        <v>104</v>
      </c>
      <c r="D231" s="730" t="s">
        <v>105</v>
      </c>
      <c r="E231" s="718" t="s">
        <v>106</v>
      </c>
      <c r="F231" s="718" t="s">
        <v>107</v>
      </c>
      <c r="G231" s="697" t="s">
        <v>108</v>
      </c>
      <c r="H231" s="698" t="s">
        <v>109</v>
      </c>
      <c r="I231" s="699" t="s">
        <v>110</v>
      </c>
      <c r="J231" s="697" t="s">
        <v>111</v>
      </c>
      <c r="K231" s="698" t="s">
        <v>109</v>
      </c>
      <c r="L231" s="699" t="s">
        <v>110</v>
      </c>
    </row>
    <row r="232" spans="1:12" ht="14.85" customHeight="1" thickBot="1">
      <c r="A232" s="703" t="s">
        <v>143</v>
      </c>
      <c r="B232" s="849" t="s">
        <v>3251</v>
      </c>
      <c r="C232" s="1640" t="s">
        <v>3252</v>
      </c>
      <c r="D232" s="849" t="s">
        <v>3253</v>
      </c>
      <c r="E232" s="1594" t="s">
        <v>109</v>
      </c>
      <c r="F232" s="707">
        <v>4.5138888888888893</v>
      </c>
      <c r="G232" s="1595">
        <v>5</v>
      </c>
      <c r="H232" s="1584">
        <v>14.563499999999999</v>
      </c>
      <c r="I232" s="1585">
        <v>56.8</v>
      </c>
      <c r="J232" s="1595">
        <v>24</v>
      </c>
      <c r="K232" s="1584">
        <v>349.52</v>
      </c>
      <c r="L232" s="1585">
        <v>1363.2</v>
      </c>
    </row>
    <row r="233" spans="1:12" ht="14.85" customHeight="1" thickBot="1">
      <c r="B233" s="785" t="s">
        <v>3254</v>
      </c>
      <c r="C233" s="1700"/>
      <c r="D233" s="785" t="s">
        <v>3255</v>
      </c>
      <c r="E233" s="1700"/>
      <c r="F233" s="707">
        <v>4.6875</v>
      </c>
      <c r="G233" s="1690"/>
      <c r="H233" s="1692"/>
      <c r="I233" s="1694"/>
      <c r="J233" s="1690"/>
      <c r="K233" s="1692"/>
      <c r="L233" s="1694"/>
    </row>
    <row r="234" spans="1:12" ht="14.85" customHeight="1" thickBot="1">
      <c r="B234" s="736"/>
      <c r="C234" s="713"/>
      <c r="D234" s="819"/>
      <c r="E234" s="713"/>
      <c r="F234" s="713"/>
      <c r="G234" s="713"/>
      <c r="H234" s="728"/>
      <c r="I234" s="728"/>
      <c r="J234" s="713"/>
      <c r="K234" s="728"/>
      <c r="L234" s="728"/>
    </row>
    <row r="235" spans="1:12" ht="32.25" customHeight="1" thickBot="1">
      <c r="A235" s="716"/>
      <c r="B235" s="691" t="s">
        <v>3256</v>
      </c>
      <c r="C235" s="748"/>
      <c r="G235" s="1598" t="s">
        <v>101</v>
      </c>
      <c r="H235" s="1675"/>
      <c r="I235" s="1675"/>
      <c r="J235" s="1593" t="s">
        <v>102</v>
      </c>
      <c r="K235" s="1675"/>
      <c r="L235" s="1676"/>
    </row>
    <row r="236" spans="1:12" ht="15" customHeight="1" thickBot="1">
      <c r="B236" s="717" t="s">
        <v>103</v>
      </c>
      <c r="C236" s="694" t="s">
        <v>104</v>
      </c>
      <c r="D236" s="730" t="s">
        <v>105</v>
      </c>
      <c r="E236" s="718" t="s">
        <v>106</v>
      </c>
      <c r="F236" s="718" t="s">
        <v>107</v>
      </c>
      <c r="G236" s="697" t="s">
        <v>108</v>
      </c>
      <c r="H236" s="698" t="s">
        <v>109</v>
      </c>
      <c r="I236" s="850" t="s">
        <v>110</v>
      </c>
      <c r="J236" s="697" t="s">
        <v>111</v>
      </c>
      <c r="K236" s="698" t="s">
        <v>109</v>
      </c>
      <c r="L236" s="699" t="s">
        <v>110</v>
      </c>
    </row>
    <row r="237" spans="1:12" ht="14.85" customHeight="1" thickBot="1">
      <c r="B237" s="851" t="s">
        <v>3257</v>
      </c>
      <c r="C237" s="852" t="s">
        <v>268</v>
      </c>
      <c r="D237" s="820" t="s">
        <v>3258</v>
      </c>
      <c r="E237" s="1594" t="s">
        <v>109</v>
      </c>
      <c r="F237" s="707">
        <v>4.7222222222222232</v>
      </c>
      <c r="G237" s="772">
        <v>2</v>
      </c>
      <c r="H237" s="773">
        <v>30.68</v>
      </c>
      <c r="I237" s="853">
        <v>112.04</v>
      </c>
      <c r="J237" s="772">
        <v>32</v>
      </c>
      <c r="K237" s="773">
        <v>983.75</v>
      </c>
      <c r="L237" s="774">
        <v>3585.29</v>
      </c>
    </row>
    <row r="238" spans="1:12" ht="14.85" customHeight="1">
      <c r="A238" s="687"/>
      <c r="B238" s="851" t="s">
        <v>3259</v>
      </c>
      <c r="C238" s="1656" t="s">
        <v>2651</v>
      </c>
      <c r="D238" s="820" t="s">
        <v>3260</v>
      </c>
      <c r="E238" s="1697"/>
      <c r="F238" s="1652">
        <v>9.1319444444444464</v>
      </c>
      <c r="G238" s="1663">
        <v>1</v>
      </c>
      <c r="H238" s="1603">
        <v>32.18</v>
      </c>
      <c r="I238" s="1664" t="s">
        <v>3261</v>
      </c>
      <c r="J238" s="1618">
        <v>30</v>
      </c>
      <c r="K238" s="1603">
        <f>H238*30</f>
        <v>965.4</v>
      </c>
      <c r="L238" s="1630">
        <v>3803.1</v>
      </c>
    </row>
    <row r="239" spans="1:12" ht="14.85" customHeight="1">
      <c r="A239" s="687"/>
      <c r="B239" s="854" t="s">
        <v>3262</v>
      </c>
      <c r="C239" s="1680"/>
      <c r="D239" s="855" t="s">
        <v>3263</v>
      </c>
      <c r="E239" s="1697"/>
      <c r="F239" s="1759"/>
      <c r="G239" s="1720"/>
      <c r="H239" s="1687"/>
      <c r="I239" s="1688"/>
      <c r="J239" s="1686"/>
      <c r="K239" s="1687"/>
      <c r="L239" s="1689"/>
    </row>
    <row r="240" spans="1:12" ht="14.85" customHeight="1">
      <c r="A240" s="716"/>
      <c r="B240" s="856" t="s">
        <v>3264</v>
      </c>
      <c r="C240" s="1680"/>
      <c r="D240" s="855" t="s">
        <v>3265</v>
      </c>
      <c r="E240" s="1697"/>
      <c r="F240" s="1759"/>
      <c r="G240" s="1720"/>
      <c r="H240" s="1687"/>
      <c r="I240" s="1688"/>
      <c r="J240" s="1686"/>
      <c r="K240" s="1687"/>
      <c r="L240" s="1689"/>
    </row>
    <row r="241" spans="1:15" ht="14.85" customHeight="1">
      <c r="A241" s="703"/>
      <c r="B241" s="856" t="s">
        <v>3266</v>
      </c>
      <c r="C241" s="1680"/>
      <c r="D241" s="855" t="s">
        <v>3267</v>
      </c>
      <c r="E241" s="1697"/>
      <c r="F241" s="1759"/>
      <c r="G241" s="1720"/>
      <c r="H241" s="1687"/>
      <c r="I241" s="1688"/>
      <c r="J241" s="1686"/>
      <c r="K241" s="1687"/>
      <c r="L241" s="1689"/>
    </row>
    <row r="242" spans="1:15" ht="14.85" customHeight="1">
      <c r="B242" s="856" t="s">
        <v>3268</v>
      </c>
      <c r="C242" s="1680"/>
      <c r="D242" s="855" t="s">
        <v>3269</v>
      </c>
      <c r="E242" s="1697"/>
      <c r="F242" s="1759"/>
      <c r="G242" s="1720"/>
      <c r="H242" s="1687"/>
      <c r="I242" s="1688"/>
      <c r="J242" s="1686"/>
      <c r="K242" s="1687"/>
      <c r="L242" s="1689"/>
    </row>
    <row r="243" spans="1:15" ht="14.85" customHeight="1">
      <c r="B243" s="856" t="s">
        <v>3270</v>
      </c>
      <c r="C243" s="1680"/>
      <c r="D243" s="855" t="s">
        <v>3271</v>
      </c>
      <c r="E243" s="1697"/>
      <c r="F243" s="1759"/>
      <c r="G243" s="1720"/>
      <c r="H243" s="1687"/>
      <c r="I243" s="1688"/>
      <c r="J243" s="1686"/>
      <c r="K243" s="1687"/>
      <c r="L243" s="1689"/>
    </row>
    <row r="244" spans="1:15" ht="14.85" customHeight="1">
      <c r="B244" s="856" t="s">
        <v>3272</v>
      </c>
      <c r="C244" s="1680"/>
      <c r="D244" s="855" t="s">
        <v>3273</v>
      </c>
      <c r="E244" s="1697"/>
      <c r="F244" s="1759"/>
      <c r="G244" s="1720"/>
      <c r="H244" s="1687"/>
      <c r="I244" s="1688"/>
      <c r="J244" s="1686"/>
      <c r="K244" s="1687"/>
      <c r="L244" s="1689"/>
    </row>
    <row r="245" spans="1:15" ht="14.85" customHeight="1">
      <c r="B245" s="856" t="s">
        <v>3274</v>
      </c>
      <c r="C245" s="1680"/>
      <c r="D245" s="855" t="s">
        <v>3273</v>
      </c>
      <c r="E245" s="1697"/>
      <c r="F245" s="1759"/>
      <c r="G245" s="1720"/>
      <c r="H245" s="1687"/>
      <c r="I245" s="1688"/>
      <c r="J245" s="1686"/>
      <c r="K245" s="1687"/>
      <c r="L245" s="1689"/>
    </row>
    <row r="246" spans="1:15" ht="14.85" customHeight="1">
      <c r="B246" s="856" t="s">
        <v>3275</v>
      </c>
      <c r="C246" s="1680"/>
      <c r="D246" s="855" t="s">
        <v>3276</v>
      </c>
      <c r="E246" s="1697"/>
      <c r="F246" s="1759"/>
      <c r="G246" s="1720"/>
      <c r="H246" s="1687"/>
      <c r="I246" s="1688"/>
      <c r="J246" s="1686"/>
      <c r="K246" s="1687"/>
      <c r="L246" s="1689"/>
    </row>
    <row r="247" spans="1:15" ht="14.85" customHeight="1">
      <c r="B247" s="856" t="s">
        <v>3277</v>
      </c>
      <c r="C247" s="1680"/>
      <c r="D247" s="855" t="s">
        <v>3278</v>
      </c>
      <c r="E247" s="1697"/>
      <c r="F247" s="1759"/>
      <c r="G247" s="1720"/>
      <c r="H247" s="1687"/>
      <c r="I247" s="1688"/>
      <c r="J247" s="1686"/>
      <c r="K247" s="1687"/>
      <c r="L247" s="1689"/>
    </row>
    <row r="248" spans="1:15" ht="14.85" customHeight="1">
      <c r="B248" s="856" t="s">
        <v>3279</v>
      </c>
      <c r="C248" s="1680"/>
      <c r="D248" s="855" t="s">
        <v>3280</v>
      </c>
      <c r="E248" s="1697"/>
      <c r="F248" s="1759"/>
      <c r="G248" s="1720"/>
      <c r="H248" s="1687"/>
      <c r="I248" s="1688"/>
      <c r="J248" s="1686"/>
      <c r="K248" s="1687"/>
      <c r="L248" s="1689"/>
    </row>
    <row r="249" spans="1:15" ht="14.85" customHeight="1">
      <c r="B249" s="856" t="s">
        <v>3281</v>
      </c>
      <c r="C249" s="1680"/>
      <c r="D249" s="855" t="s">
        <v>3282</v>
      </c>
      <c r="E249" s="1697"/>
      <c r="F249" s="1759"/>
      <c r="G249" s="1720"/>
      <c r="H249" s="1687"/>
      <c r="I249" s="1688"/>
      <c r="J249" s="1686"/>
      <c r="K249" s="1687"/>
      <c r="L249" s="1689"/>
    </row>
    <row r="250" spans="1:15" ht="14.85" customHeight="1">
      <c r="B250" s="856" t="s">
        <v>3283</v>
      </c>
      <c r="C250" s="1680"/>
      <c r="D250" s="855" t="s">
        <v>3284</v>
      </c>
      <c r="E250" s="1697"/>
      <c r="F250" s="1759"/>
      <c r="G250" s="1720"/>
      <c r="H250" s="1687"/>
      <c r="I250" s="1688"/>
      <c r="J250" s="1686"/>
      <c r="K250" s="1687"/>
      <c r="L250" s="1689"/>
    </row>
    <row r="251" spans="1:15" ht="14.85" customHeight="1" thickBot="1">
      <c r="B251" s="857" t="s">
        <v>3285</v>
      </c>
      <c r="C251" s="1680"/>
      <c r="D251" s="784" t="s">
        <v>3286</v>
      </c>
      <c r="E251" s="1697"/>
      <c r="F251" s="1759"/>
      <c r="G251" s="1745"/>
      <c r="H251" s="1718"/>
      <c r="I251" s="1693"/>
      <c r="J251" s="1691"/>
      <c r="K251" s="1718"/>
      <c r="L251" s="1705"/>
    </row>
    <row r="252" spans="1:15" s="20" customFormat="1" ht="12" customHeight="1" thickBot="1">
      <c r="A252" s="685"/>
      <c r="B252" s="954" t="s">
        <v>3287</v>
      </c>
      <c r="C252" s="706" t="s">
        <v>2681</v>
      </c>
      <c r="D252" s="858" t="s">
        <v>3288</v>
      </c>
      <c r="E252" s="1700"/>
      <c r="F252" s="859">
        <v>11.75</v>
      </c>
      <c r="G252" s="860">
        <v>1</v>
      </c>
      <c r="H252" s="861">
        <v>55.11</v>
      </c>
      <c r="I252" s="862">
        <f>L252/J252</f>
        <v>201.77312499999999</v>
      </c>
      <c r="J252" s="860">
        <v>16</v>
      </c>
      <c r="K252" s="861">
        <v>881.78</v>
      </c>
      <c r="L252" s="862">
        <v>3228.37</v>
      </c>
      <c r="M252" s="687"/>
      <c r="N252" s="687"/>
      <c r="O252" s="328"/>
    </row>
    <row r="253" spans="1:15" s="20" customFormat="1" ht="12" customHeight="1" thickBot="1">
      <c r="A253" s="685"/>
      <c r="B253" s="955"/>
      <c r="C253" s="713"/>
      <c r="D253" s="863"/>
      <c r="G253" s="787"/>
      <c r="H253" s="788"/>
      <c r="I253" s="788"/>
      <c r="J253" s="787"/>
      <c r="K253" s="788"/>
      <c r="L253" s="788"/>
      <c r="M253" s="687"/>
      <c r="N253" s="687"/>
      <c r="O253" s="328"/>
    </row>
    <row r="254" spans="1:15" ht="32.1" customHeight="1" thickBot="1">
      <c r="B254" s="691" t="s">
        <v>3289</v>
      </c>
      <c r="D254" s="688"/>
      <c r="G254" s="1593" t="s">
        <v>101</v>
      </c>
      <c r="H254" s="1675"/>
      <c r="I254" s="1676"/>
      <c r="J254" s="1593" t="s">
        <v>102</v>
      </c>
      <c r="K254" s="1675"/>
      <c r="L254" s="1676"/>
    </row>
    <row r="255" spans="1:15" ht="15" customHeight="1" thickBot="1">
      <c r="B255" s="717" t="s">
        <v>103</v>
      </c>
      <c r="C255" s="717" t="s">
        <v>104</v>
      </c>
      <c r="D255" s="730" t="s">
        <v>105</v>
      </c>
      <c r="E255" s="718" t="s">
        <v>106</v>
      </c>
      <c r="F255" s="718" t="s">
        <v>107</v>
      </c>
      <c r="G255" s="697" t="s">
        <v>108</v>
      </c>
      <c r="H255" s="698" t="s">
        <v>109</v>
      </c>
      <c r="I255" s="699" t="s">
        <v>110</v>
      </c>
      <c r="J255" s="697" t="s">
        <v>111</v>
      </c>
      <c r="K255" s="698" t="s">
        <v>109</v>
      </c>
      <c r="L255" s="699" t="s">
        <v>110</v>
      </c>
    </row>
    <row r="256" spans="1:15">
      <c r="A256" s="703" t="s">
        <v>112</v>
      </c>
      <c r="B256" s="812" t="s">
        <v>3290</v>
      </c>
      <c r="C256" s="1643" t="s">
        <v>268</v>
      </c>
      <c r="D256" s="849" t="s">
        <v>3291</v>
      </c>
      <c r="E256" s="1594" t="s">
        <v>109</v>
      </c>
      <c r="F256" s="1592">
        <v>4.7222222222222232</v>
      </c>
      <c r="G256" s="1632">
        <v>2</v>
      </c>
      <c r="H256" s="1631">
        <v>30.68</v>
      </c>
      <c r="I256" s="1596">
        <v>108.31</v>
      </c>
      <c r="J256" s="1632">
        <v>32</v>
      </c>
      <c r="K256" s="1631">
        <v>983.75</v>
      </c>
      <c r="L256" s="1596">
        <v>3466.04</v>
      </c>
    </row>
    <row r="257" spans="1:12" ht="15" customHeight="1">
      <c r="B257" s="791" t="s">
        <v>3292</v>
      </c>
      <c r="C257" s="1721"/>
      <c r="D257" s="838" t="s">
        <v>3293</v>
      </c>
      <c r="E257" s="1697"/>
      <c r="F257" s="1697"/>
      <c r="G257" s="1686"/>
      <c r="H257" s="1687"/>
      <c r="I257" s="1689"/>
      <c r="J257" s="1686"/>
      <c r="K257" s="1687"/>
      <c r="L257" s="1689"/>
    </row>
    <row r="258" spans="1:12" ht="15" customHeight="1">
      <c r="A258" s="793"/>
      <c r="B258" s="791" t="s">
        <v>3294</v>
      </c>
      <c r="C258" s="1721"/>
      <c r="D258" s="838" t="s">
        <v>3295</v>
      </c>
      <c r="E258" s="1697"/>
      <c r="F258" s="1697"/>
      <c r="G258" s="1686"/>
      <c r="H258" s="1687"/>
      <c r="I258" s="1689"/>
      <c r="J258" s="1686"/>
      <c r="K258" s="1687"/>
      <c r="L258" s="1689"/>
    </row>
    <row r="259" spans="1:12" ht="15" customHeight="1" thickBot="1">
      <c r="B259" s="795" t="s">
        <v>3296</v>
      </c>
      <c r="C259" s="1723"/>
      <c r="D259" s="785" t="s">
        <v>3297</v>
      </c>
      <c r="E259" s="1697"/>
      <c r="F259" s="1700"/>
      <c r="G259" s="1690"/>
      <c r="H259" s="1692"/>
      <c r="I259" s="1694"/>
      <c r="J259" s="1690"/>
      <c r="K259" s="1692"/>
      <c r="L259" s="1694"/>
    </row>
    <row r="260" spans="1:12" ht="15" customHeight="1">
      <c r="B260" s="864" t="s">
        <v>3298</v>
      </c>
      <c r="C260" s="1661" t="s">
        <v>2651</v>
      </c>
      <c r="D260" s="865" t="s">
        <v>3299</v>
      </c>
      <c r="E260" s="1697"/>
      <c r="F260" s="1592">
        <v>9.1319444444444464</v>
      </c>
      <c r="G260" s="1632">
        <v>1</v>
      </c>
      <c r="H260" s="1631">
        <v>32.18</v>
      </c>
      <c r="I260" s="1596">
        <v>122.88</v>
      </c>
      <c r="J260" s="1632">
        <v>14</v>
      </c>
      <c r="K260" s="1631">
        <v>450.12</v>
      </c>
      <c r="L260" s="1596">
        <v>1720.32</v>
      </c>
    </row>
    <row r="261" spans="1:12" ht="15" customHeight="1">
      <c r="B261" s="791" t="s">
        <v>3300</v>
      </c>
      <c r="C261" s="1730"/>
      <c r="D261" s="855" t="s">
        <v>3301</v>
      </c>
      <c r="E261" s="1697"/>
      <c r="F261" s="1697"/>
      <c r="G261" s="1686"/>
      <c r="H261" s="1687"/>
      <c r="I261" s="1689"/>
      <c r="J261" s="1686"/>
      <c r="K261" s="1687"/>
      <c r="L261" s="1689"/>
    </row>
    <row r="262" spans="1:12" ht="15" customHeight="1">
      <c r="B262" s="794" t="s">
        <v>3302</v>
      </c>
      <c r="C262" s="1730"/>
      <c r="D262" s="855" t="s">
        <v>3303</v>
      </c>
      <c r="E262" s="1697"/>
      <c r="F262" s="1697"/>
      <c r="G262" s="1686"/>
      <c r="H262" s="1687"/>
      <c r="I262" s="1689"/>
      <c r="J262" s="1686"/>
      <c r="K262" s="1687"/>
      <c r="L262" s="1689"/>
    </row>
    <row r="263" spans="1:12" ht="15" customHeight="1">
      <c r="B263" s="794" t="s">
        <v>3304</v>
      </c>
      <c r="C263" s="1730"/>
      <c r="D263" s="855" t="s">
        <v>3305</v>
      </c>
      <c r="E263" s="1697"/>
      <c r="F263" s="1697"/>
      <c r="G263" s="1686"/>
      <c r="H263" s="1687"/>
      <c r="I263" s="1689"/>
      <c r="J263" s="1686"/>
      <c r="K263" s="1687"/>
      <c r="L263" s="1689"/>
    </row>
    <row r="264" spans="1:12" ht="15" customHeight="1" thickBot="1">
      <c r="B264" s="795" t="s">
        <v>3306</v>
      </c>
      <c r="C264" s="1732"/>
      <c r="D264" s="784" t="s">
        <v>3307</v>
      </c>
      <c r="E264" s="1700"/>
      <c r="F264" s="1700"/>
      <c r="G264" s="1690"/>
      <c r="H264" s="1692"/>
      <c r="I264" s="1694"/>
      <c r="J264" s="1690"/>
      <c r="K264" s="1692"/>
      <c r="L264" s="1694"/>
    </row>
    <row r="265" spans="1:12" ht="15" customHeight="1" thickBot="1"/>
    <row r="266" spans="1:12" ht="32.1" customHeight="1" thickBot="1">
      <c r="B266" s="691" t="s">
        <v>3308</v>
      </c>
      <c r="D266" s="713"/>
      <c r="E266" s="713"/>
      <c r="F266" s="713"/>
      <c r="G266" s="1593" t="s">
        <v>101</v>
      </c>
      <c r="H266" s="1675"/>
      <c r="I266" s="1676"/>
      <c r="J266" s="1593" t="s">
        <v>102</v>
      </c>
      <c r="K266" s="1675"/>
      <c r="L266" s="1676"/>
    </row>
    <row r="267" spans="1:12" ht="15" customHeight="1" thickBot="1">
      <c r="B267" s="717" t="s">
        <v>103</v>
      </c>
      <c r="C267" s="717" t="s">
        <v>104</v>
      </c>
      <c r="D267" s="730" t="s">
        <v>105</v>
      </c>
      <c r="E267" s="718" t="s">
        <v>106</v>
      </c>
      <c r="F267" s="718" t="s">
        <v>107</v>
      </c>
      <c r="G267" s="697" t="s">
        <v>108</v>
      </c>
      <c r="H267" s="698" t="s">
        <v>109</v>
      </c>
      <c r="I267" s="699" t="s">
        <v>110</v>
      </c>
      <c r="J267" s="697" t="s">
        <v>111</v>
      </c>
      <c r="K267" s="698" t="s">
        <v>109</v>
      </c>
      <c r="L267" s="699" t="s">
        <v>110</v>
      </c>
    </row>
    <row r="268" spans="1:12" ht="15" customHeight="1" thickBot="1">
      <c r="A268" s="703" t="s">
        <v>112</v>
      </c>
      <c r="B268" s="731" t="s">
        <v>3309</v>
      </c>
      <c r="C268" s="1639" t="s">
        <v>377</v>
      </c>
      <c r="D268" s="731" t="s">
        <v>3310</v>
      </c>
      <c r="E268" s="1646" t="s">
        <v>109</v>
      </c>
      <c r="F268" s="707">
        <v>3.298611111111112</v>
      </c>
      <c r="G268" s="1634">
        <v>3</v>
      </c>
      <c r="H268" s="1608">
        <v>25.83</v>
      </c>
      <c r="I268" s="1599">
        <v>90.2</v>
      </c>
      <c r="J268" s="1606">
        <v>44</v>
      </c>
      <c r="K268" s="1608">
        <v>1138.1300000000001</v>
      </c>
      <c r="L268" s="1599">
        <v>3968.89</v>
      </c>
    </row>
    <row r="269" spans="1:12" ht="15" customHeight="1" thickBot="1">
      <c r="B269" s="742" t="s">
        <v>3311</v>
      </c>
      <c r="C269" s="1738"/>
      <c r="D269" s="732" t="s">
        <v>3312</v>
      </c>
      <c r="E269" s="1679"/>
      <c r="F269" s="707">
        <v>3.4375</v>
      </c>
      <c r="G269" s="1706"/>
      <c r="H269" s="1692"/>
      <c r="I269" s="1694"/>
      <c r="J269" s="1690"/>
      <c r="K269" s="1692"/>
      <c r="L269" s="1694"/>
    </row>
    <row r="270" spans="1:12" ht="15" customHeight="1" thickBot="1">
      <c r="B270" s="786"/>
      <c r="C270" s="713"/>
      <c r="D270" s="786"/>
      <c r="E270" s="713"/>
      <c r="F270" s="713"/>
      <c r="G270" s="787"/>
      <c r="H270" s="788"/>
      <c r="I270" s="788"/>
      <c r="J270" s="787"/>
      <c r="K270" s="788"/>
      <c r="L270" s="788"/>
    </row>
    <row r="271" spans="1:12" ht="32.1" customHeight="1" thickBot="1">
      <c r="B271" s="691" t="s">
        <v>3313</v>
      </c>
      <c r="D271" s="688"/>
      <c r="G271" s="1593" t="s">
        <v>101</v>
      </c>
      <c r="H271" s="1675"/>
      <c r="I271" s="1676"/>
      <c r="J271" s="1593" t="s">
        <v>102</v>
      </c>
      <c r="K271" s="1675"/>
      <c r="L271" s="1676"/>
    </row>
    <row r="272" spans="1:12" ht="15" customHeight="1" thickBot="1">
      <c r="B272" s="717" t="s">
        <v>103</v>
      </c>
      <c r="C272" s="717" t="s">
        <v>104</v>
      </c>
      <c r="D272" s="730" t="s">
        <v>105</v>
      </c>
      <c r="E272" s="718" t="s">
        <v>106</v>
      </c>
      <c r="F272" s="718" t="s">
        <v>107</v>
      </c>
      <c r="G272" s="697" t="s">
        <v>108</v>
      </c>
      <c r="H272" s="698" t="s">
        <v>109</v>
      </c>
      <c r="I272" s="699" t="s">
        <v>110</v>
      </c>
      <c r="J272" s="697" t="s">
        <v>111</v>
      </c>
      <c r="K272" s="698" t="s">
        <v>109</v>
      </c>
      <c r="L272" s="699" t="s">
        <v>110</v>
      </c>
    </row>
    <row r="273" spans="1:12" ht="14.1" customHeight="1" thickBot="1">
      <c r="A273" s="703" t="s">
        <v>112</v>
      </c>
      <c r="B273" s="719" t="s">
        <v>3314</v>
      </c>
      <c r="C273" s="1640" t="s">
        <v>268</v>
      </c>
      <c r="D273" s="866" t="s">
        <v>3315</v>
      </c>
      <c r="E273" s="1613" t="s">
        <v>109</v>
      </c>
      <c r="F273" s="707">
        <v>4.7222222222222232</v>
      </c>
      <c r="G273" s="1651">
        <v>2</v>
      </c>
      <c r="H273" s="1584">
        <v>30.68</v>
      </c>
      <c r="I273" s="1609">
        <v>108.31</v>
      </c>
      <c r="J273" s="1595">
        <v>32</v>
      </c>
      <c r="K273" s="1584">
        <v>983.75</v>
      </c>
      <c r="L273" s="1585">
        <v>3466.04</v>
      </c>
    </row>
    <row r="274" spans="1:12" ht="15" customHeight="1" thickBot="1">
      <c r="B274" s="725" t="s">
        <v>3316</v>
      </c>
      <c r="C274" s="1700"/>
      <c r="D274" s="867" t="s">
        <v>3317</v>
      </c>
      <c r="E274" s="1679"/>
      <c r="F274" s="707">
        <v>4.8611111111111107</v>
      </c>
      <c r="G274" s="1706"/>
      <c r="H274" s="1692"/>
      <c r="I274" s="1701"/>
      <c r="J274" s="1690"/>
      <c r="K274" s="1692"/>
      <c r="L274" s="1694"/>
    </row>
    <row r="275" spans="1:12" ht="15" customHeight="1" thickBot="1">
      <c r="B275" s="786"/>
      <c r="C275" s="713"/>
      <c r="D275" s="786"/>
      <c r="E275" s="713"/>
      <c r="F275" s="713"/>
      <c r="G275" s="787"/>
      <c r="H275" s="788"/>
      <c r="I275" s="788"/>
      <c r="J275" s="787"/>
      <c r="K275" s="788"/>
      <c r="L275" s="788"/>
    </row>
    <row r="276" spans="1:12" ht="32.1" customHeight="1" thickBot="1">
      <c r="B276" s="691" t="s">
        <v>3318</v>
      </c>
      <c r="D276" s="688"/>
      <c r="G276" s="1593" t="s">
        <v>101</v>
      </c>
      <c r="H276" s="1675"/>
      <c r="I276" s="1676"/>
      <c r="J276" s="1593" t="s">
        <v>102</v>
      </c>
      <c r="K276" s="1675"/>
      <c r="L276" s="1676"/>
    </row>
    <row r="277" spans="1:12" ht="15" customHeight="1" thickBot="1">
      <c r="B277" s="717" t="s">
        <v>103</v>
      </c>
      <c r="C277" s="717" t="s">
        <v>104</v>
      </c>
      <c r="D277" s="730" t="s">
        <v>105</v>
      </c>
      <c r="E277" s="718" t="s">
        <v>106</v>
      </c>
      <c r="F277" s="718" t="s">
        <v>107</v>
      </c>
      <c r="G277" s="697" t="s">
        <v>108</v>
      </c>
      <c r="H277" s="698" t="s">
        <v>109</v>
      </c>
      <c r="I277" s="699" t="s">
        <v>110</v>
      </c>
      <c r="J277" s="697" t="s">
        <v>111</v>
      </c>
      <c r="K277" s="698" t="s">
        <v>109</v>
      </c>
      <c r="L277" s="699" t="s">
        <v>110</v>
      </c>
    </row>
    <row r="278" spans="1:12" ht="15" customHeight="1">
      <c r="A278" s="685" t="s">
        <v>112</v>
      </c>
      <c r="B278" s="868" t="s">
        <v>3319</v>
      </c>
      <c r="C278" s="1635" t="s">
        <v>259</v>
      </c>
      <c r="D278" s="868" t="s">
        <v>3320</v>
      </c>
      <c r="E278" s="1653"/>
      <c r="F278" s="1592">
        <v>2.638888888888888</v>
      </c>
      <c r="G278" s="1632">
        <v>3</v>
      </c>
      <c r="H278" s="1631">
        <v>11.63</v>
      </c>
      <c r="I278" s="1596">
        <v>52.16</v>
      </c>
      <c r="J278" s="1632">
        <v>40</v>
      </c>
      <c r="K278" s="1631">
        <v>465</v>
      </c>
      <c r="L278" s="1596">
        <v>2086.4</v>
      </c>
    </row>
    <row r="279" spans="1:12" ht="15" customHeight="1">
      <c r="B279" s="813" t="s">
        <v>3321</v>
      </c>
      <c r="C279" s="1730"/>
      <c r="D279" s="813" t="s">
        <v>3322</v>
      </c>
      <c r="E279" s="1697"/>
      <c r="F279" s="1697"/>
      <c r="G279" s="1686"/>
      <c r="H279" s="1687"/>
      <c r="I279" s="1689"/>
      <c r="J279" s="1686"/>
      <c r="K279" s="1687"/>
      <c r="L279" s="1689"/>
    </row>
    <row r="280" spans="1:12" ht="15" customHeight="1">
      <c r="B280" s="869" t="s">
        <v>3323</v>
      </c>
      <c r="C280" s="1730"/>
      <c r="D280" s="869" t="s">
        <v>3324</v>
      </c>
      <c r="E280" s="1697"/>
      <c r="F280" s="1697"/>
      <c r="G280" s="1686"/>
      <c r="H280" s="1687"/>
      <c r="I280" s="1689"/>
      <c r="J280" s="1686"/>
      <c r="K280" s="1687"/>
      <c r="L280" s="1689"/>
    </row>
    <row r="281" spans="1:12" ht="15" customHeight="1" thickBot="1">
      <c r="B281" s="814" t="s">
        <v>3325</v>
      </c>
      <c r="C281" s="1732"/>
      <c r="D281" s="814" t="s">
        <v>3326</v>
      </c>
      <c r="E281" s="1697"/>
      <c r="F281" s="1700"/>
      <c r="G281" s="1690"/>
      <c r="H281" s="1692"/>
      <c r="I281" s="1694"/>
      <c r="J281" s="1690"/>
      <c r="K281" s="1692"/>
      <c r="L281" s="1694"/>
    </row>
    <row r="282" spans="1:12" ht="15" customHeight="1">
      <c r="A282" s="703" t="s">
        <v>143</v>
      </c>
      <c r="B282" s="849" t="s">
        <v>3327</v>
      </c>
      <c r="C282" s="1638" t="s">
        <v>3252</v>
      </c>
      <c r="D282" s="870" t="s">
        <v>3328</v>
      </c>
      <c r="E282" s="1594" t="s">
        <v>109</v>
      </c>
      <c r="F282" s="1592">
        <v>4.5138888888888893</v>
      </c>
      <c r="G282" s="1595">
        <v>5</v>
      </c>
      <c r="H282" s="1584">
        <v>14.53</v>
      </c>
      <c r="I282" s="1585">
        <v>56.81</v>
      </c>
      <c r="J282" s="1595">
        <v>24</v>
      </c>
      <c r="K282" s="1584">
        <v>348.75</v>
      </c>
      <c r="L282" s="1585">
        <v>1363.44</v>
      </c>
    </row>
    <row r="283" spans="1:12" ht="15" customHeight="1">
      <c r="B283" s="838" t="s">
        <v>3329</v>
      </c>
      <c r="C283" s="1734"/>
      <c r="D283" s="871" t="s">
        <v>3330</v>
      </c>
      <c r="E283" s="1697"/>
      <c r="F283" s="1697"/>
      <c r="G283" s="1686"/>
      <c r="H283" s="1687"/>
      <c r="I283" s="1689"/>
      <c r="J283" s="1686"/>
      <c r="K283" s="1687"/>
      <c r="L283" s="1689"/>
    </row>
    <row r="284" spans="1:12" ht="15" customHeight="1">
      <c r="B284" s="838" t="s">
        <v>3331</v>
      </c>
      <c r="C284" s="1734"/>
      <c r="D284" s="871" t="s">
        <v>3332</v>
      </c>
      <c r="E284" s="1697"/>
      <c r="F284" s="1697"/>
      <c r="G284" s="1686"/>
      <c r="H284" s="1687"/>
      <c r="I284" s="1689"/>
      <c r="J284" s="1686"/>
      <c r="K284" s="1687"/>
      <c r="L284" s="1689"/>
    </row>
    <row r="285" spans="1:12" ht="15" customHeight="1">
      <c r="B285" s="838" t="s">
        <v>3333</v>
      </c>
      <c r="C285" s="1734"/>
      <c r="D285" s="871" t="s">
        <v>3334</v>
      </c>
      <c r="E285" s="1697"/>
      <c r="F285" s="1697"/>
      <c r="G285" s="1686"/>
      <c r="H285" s="1687"/>
      <c r="I285" s="1689"/>
      <c r="J285" s="1686"/>
      <c r="K285" s="1687"/>
      <c r="L285" s="1689"/>
    </row>
    <row r="286" spans="1:12" ht="15" customHeight="1">
      <c r="B286" s="838" t="s">
        <v>3335</v>
      </c>
      <c r="C286" s="1734"/>
      <c r="D286" s="871" t="s">
        <v>3336</v>
      </c>
      <c r="E286" s="1697"/>
      <c r="F286" s="1697"/>
      <c r="G286" s="1686"/>
      <c r="H286" s="1687"/>
      <c r="I286" s="1689"/>
      <c r="J286" s="1686"/>
      <c r="K286" s="1687"/>
      <c r="L286" s="1689"/>
    </row>
    <row r="287" spans="1:12" ht="15" customHeight="1" thickBot="1">
      <c r="B287" s="785" t="s">
        <v>3337</v>
      </c>
      <c r="C287" s="1735"/>
      <c r="D287" s="872" t="s">
        <v>3338</v>
      </c>
      <c r="E287" s="1700"/>
      <c r="F287" s="1700"/>
      <c r="G287" s="1690"/>
      <c r="H287" s="1692"/>
      <c r="I287" s="1694"/>
      <c r="J287" s="1690"/>
      <c r="K287" s="1692"/>
      <c r="L287" s="1694"/>
    </row>
    <row r="288" spans="1:12" ht="15" customHeight="1" thickBot="1">
      <c r="B288" s="873"/>
      <c r="C288" s="874"/>
      <c r="D288" s="873"/>
      <c r="E288" s="713"/>
      <c r="F288" s="713"/>
      <c r="G288" s="875"/>
      <c r="H288" s="876"/>
      <c r="I288" s="876"/>
      <c r="J288" s="875"/>
      <c r="K288" s="877"/>
      <c r="L288" s="876"/>
    </row>
    <row r="289" spans="1:12" ht="29.25" customHeight="1" thickBot="1">
      <c r="B289" s="691" t="s">
        <v>3339</v>
      </c>
      <c r="D289" s="692"/>
      <c r="G289" s="1629" t="s">
        <v>101</v>
      </c>
      <c r="H289" s="1716"/>
      <c r="I289" s="1717"/>
      <c r="J289" s="1629" t="s">
        <v>102</v>
      </c>
      <c r="K289" s="1716"/>
      <c r="L289" s="1717"/>
    </row>
    <row r="290" spans="1:12" ht="15" customHeight="1" thickBot="1">
      <c r="B290" s="693" t="s">
        <v>103</v>
      </c>
      <c r="C290" s="694" t="s">
        <v>104</v>
      </c>
      <c r="D290" s="695" t="s">
        <v>105</v>
      </c>
      <c r="E290" s="696" t="s">
        <v>106</v>
      </c>
      <c r="F290" s="718" t="s">
        <v>107</v>
      </c>
      <c r="G290" s="697" t="s">
        <v>108</v>
      </c>
      <c r="H290" s="698" t="s">
        <v>109</v>
      </c>
      <c r="I290" s="699" t="s">
        <v>110</v>
      </c>
      <c r="J290" s="700" t="s">
        <v>111</v>
      </c>
      <c r="K290" s="701" t="s">
        <v>109</v>
      </c>
      <c r="L290" s="702" t="s">
        <v>110</v>
      </c>
    </row>
    <row r="291" spans="1:12" ht="15" customHeight="1" thickBot="1">
      <c r="A291" s="703" t="s">
        <v>112</v>
      </c>
      <c r="B291" s="738" t="s">
        <v>3340</v>
      </c>
      <c r="C291" s="706" t="s">
        <v>114</v>
      </c>
      <c r="D291" s="704" t="s">
        <v>3341</v>
      </c>
      <c r="E291" s="706" t="s">
        <v>109</v>
      </c>
      <c r="F291" s="707">
        <v>4.5138888888888893</v>
      </c>
      <c r="G291" s="708">
        <v>10</v>
      </c>
      <c r="H291" s="709">
        <v>19.38</v>
      </c>
      <c r="I291" s="740">
        <v>72.2</v>
      </c>
      <c r="J291" s="708">
        <v>36</v>
      </c>
      <c r="K291" s="709">
        <v>697.5</v>
      </c>
      <c r="L291" s="740">
        <v>2599.1999999999998</v>
      </c>
    </row>
    <row r="292" spans="1:12" ht="15" customHeight="1" thickBot="1">
      <c r="B292" s="786"/>
      <c r="C292" s="713"/>
      <c r="D292" s="786"/>
      <c r="E292" s="713"/>
      <c r="F292" s="713"/>
      <c r="G292" s="787"/>
      <c r="H292" s="788"/>
      <c r="I292" s="788"/>
      <c r="J292" s="787"/>
      <c r="K292" s="788"/>
      <c r="L292" s="788"/>
    </row>
    <row r="293" spans="1:12" ht="32.1" customHeight="1" thickBot="1">
      <c r="B293" s="691" t="s">
        <v>3342</v>
      </c>
      <c r="D293" s="688"/>
      <c r="G293" s="1593" t="s">
        <v>101</v>
      </c>
      <c r="H293" s="1675"/>
      <c r="I293" s="1676"/>
      <c r="J293" s="1593" t="s">
        <v>102</v>
      </c>
      <c r="K293" s="1675"/>
      <c r="L293" s="1676"/>
    </row>
    <row r="294" spans="1:12" ht="15" customHeight="1" thickBot="1">
      <c r="B294" s="717" t="s">
        <v>103</v>
      </c>
      <c r="C294" s="717" t="s">
        <v>104</v>
      </c>
      <c r="D294" s="730" t="s">
        <v>105</v>
      </c>
      <c r="E294" s="718" t="s">
        <v>106</v>
      </c>
      <c r="F294" s="718" t="s">
        <v>107</v>
      </c>
      <c r="G294" s="697" t="s">
        <v>108</v>
      </c>
      <c r="H294" s="698" t="s">
        <v>109</v>
      </c>
      <c r="I294" s="699" t="s">
        <v>110</v>
      </c>
      <c r="J294" s="697" t="s">
        <v>111</v>
      </c>
      <c r="K294" s="698" t="s">
        <v>109</v>
      </c>
      <c r="L294" s="699" t="s">
        <v>110</v>
      </c>
    </row>
    <row r="295" spans="1:12" ht="15" customHeight="1" thickBot="1">
      <c r="A295" s="703" t="s">
        <v>112</v>
      </c>
      <c r="B295" s="849" t="s">
        <v>3343</v>
      </c>
      <c r="C295" s="1649" t="s">
        <v>3344</v>
      </c>
      <c r="D295" s="811" t="s">
        <v>3345</v>
      </c>
      <c r="E295" s="1646" t="s">
        <v>109</v>
      </c>
      <c r="F295" s="707">
        <v>11.45833333333333</v>
      </c>
      <c r="G295" s="1587">
        <v>62</v>
      </c>
      <c r="H295" s="1588">
        <v>6.7</v>
      </c>
      <c r="I295" s="1588">
        <v>27.34</v>
      </c>
      <c r="J295" s="1597">
        <v>62</v>
      </c>
      <c r="K295" s="1588">
        <f>J295*H295</f>
        <v>415.40000000000003</v>
      </c>
      <c r="L295" s="1588">
        <f>J295*I295</f>
        <v>1695.08</v>
      </c>
    </row>
    <row r="296" spans="1:12" ht="15" customHeight="1" thickBot="1">
      <c r="B296" s="838" t="s">
        <v>3346</v>
      </c>
      <c r="C296" s="1650"/>
      <c r="D296" s="813" t="s">
        <v>3347</v>
      </c>
      <c r="E296" s="1677"/>
      <c r="F296" s="707">
        <v>10.59027777777778</v>
      </c>
      <c r="G296" s="1739"/>
      <c r="H296" s="1697"/>
      <c r="I296" s="1697"/>
      <c r="J296" s="1697"/>
      <c r="K296" s="1697"/>
      <c r="L296" s="1697"/>
    </row>
    <row r="297" spans="1:12" ht="15" customHeight="1" thickBot="1">
      <c r="A297" s="793"/>
      <c r="B297" s="838" t="s">
        <v>3348</v>
      </c>
      <c r="C297" s="1650"/>
      <c r="D297" s="813" t="s">
        <v>3349</v>
      </c>
      <c r="E297" s="1677"/>
      <c r="F297" s="707">
        <v>10.59027777777778</v>
      </c>
      <c r="G297" s="1739"/>
      <c r="H297" s="1697"/>
      <c r="I297" s="1697"/>
      <c r="J297" s="1697"/>
      <c r="K297" s="1697"/>
      <c r="L297" s="1697"/>
    </row>
    <row r="298" spans="1:12" ht="15" customHeight="1" thickBot="1">
      <c r="B298" s="838" t="s">
        <v>3350</v>
      </c>
      <c r="C298" s="1650"/>
      <c r="D298" s="813" t="s">
        <v>3351</v>
      </c>
      <c r="E298" s="1677"/>
      <c r="F298" s="707">
        <v>11.45833333333333</v>
      </c>
      <c r="G298" s="1739"/>
      <c r="H298" s="1697"/>
      <c r="I298" s="1697"/>
      <c r="J298" s="1697"/>
      <c r="K298" s="1697"/>
      <c r="L298" s="1697"/>
    </row>
    <row r="299" spans="1:12" ht="15" customHeight="1" thickBot="1">
      <c r="B299" s="785" t="s">
        <v>3352</v>
      </c>
      <c r="C299" s="1760"/>
      <c r="D299" s="814" t="s">
        <v>3353</v>
      </c>
      <c r="E299" s="1679"/>
      <c r="F299" s="707">
        <v>10.59027777777778</v>
      </c>
      <c r="G299" s="1738"/>
      <c r="H299" s="1700"/>
      <c r="I299" s="1700"/>
      <c r="J299" s="1700"/>
      <c r="K299" s="1700"/>
      <c r="L299" s="1700"/>
    </row>
  </sheetData>
  <mergeCells count="443">
    <mergeCell ref="E109:E117"/>
    <mergeCell ref="C260:C264"/>
    <mergeCell ref="J266:L266"/>
    <mergeCell ref="K268:K269"/>
    <mergeCell ref="G266:I266"/>
    <mergeCell ref="K226:K228"/>
    <mergeCell ref="C151:C153"/>
    <mergeCell ref="G238:G251"/>
    <mergeCell ref="K146:K147"/>
    <mergeCell ref="I238:I251"/>
    <mergeCell ref="L202:L207"/>
    <mergeCell ref="F69:F70"/>
    <mergeCell ref="B213:D213"/>
    <mergeCell ref="I154:I156"/>
    <mergeCell ref="J215:J218"/>
    <mergeCell ref="C81:C83"/>
    <mergeCell ref="H130:H135"/>
    <mergeCell ref="I146:I147"/>
    <mergeCell ref="I160:I163"/>
    <mergeCell ref="G121:G122"/>
    <mergeCell ref="I121:I122"/>
    <mergeCell ref="G90:G92"/>
    <mergeCell ref="E188:E190"/>
    <mergeCell ref="I90:I92"/>
    <mergeCell ref="C139:C142"/>
    <mergeCell ref="G139:G142"/>
    <mergeCell ref="C202:C207"/>
    <mergeCell ref="C109:C111"/>
    <mergeCell ref="E179:E184"/>
    <mergeCell ref="G173:G175"/>
    <mergeCell ref="E160:E163"/>
    <mergeCell ref="H202:H207"/>
    <mergeCell ref="H87:H89"/>
    <mergeCell ref="G81:G83"/>
    <mergeCell ref="E202:E207"/>
    <mergeCell ref="J60:J61"/>
    <mergeCell ref="E151:E156"/>
    <mergeCell ref="K100:K105"/>
    <mergeCell ref="K139:K142"/>
    <mergeCell ref="C278:C281"/>
    <mergeCell ref="J84:J86"/>
    <mergeCell ref="C100:C105"/>
    <mergeCell ref="I256:I259"/>
    <mergeCell ref="K256:K259"/>
    <mergeCell ref="K260:K264"/>
    <mergeCell ref="C238:C251"/>
    <mergeCell ref="G276:I276"/>
    <mergeCell ref="B196:D196"/>
    <mergeCell ref="B209:D209"/>
    <mergeCell ref="F278:F281"/>
    <mergeCell ref="C226:C228"/>
    <mergeCell ref="C84:C86"/>
    <mergeCell ref="C173:C175"/>
    <mergeCell ref="G188:G190"/>
    <mergeCell ref="I139:I142"/>
    <mergeCell ref="G278:G281"/>
    <mergeCell ref="F87:F89"/>
    <mergeCell ref="K154:K156"/>
    <mergeCell ref="J144:L144"/>
    <mergeCell ref="J2:L2"/>
    <mergeCell ref="J232:J233"/>
    <mergeCell ref="J160:J163"/>
    <mergeCell ref="J14:L14"/>
    <mergeCell ref="L232:L233"/>
    <mergeCell ref="F160:F162"/>
    <mergeCell ref="J53:L53"/>
    <mergeCell ref="H146:H147"/>
    <mergeCell ref="H29:H30"/>
    <mergeCell ref="G19:I19"/>
    <mergeCell ref="F90:F92"/>
    <mergeCell ref="H90:H92"/>
    <mergeCell ref="K151:K153"/>
    <mergeCell ref="G58:I58"/>
    <mergeCell ref="H154:H156"/>
    <mergeCell ref="J154:J156"/>
    <mergeCell ref="G179:G184"/>
    <mergeCell ref="G109:G111"/>
    <mergeCell ref="I109:I111"/>
    <mergeCell ref="H60:H61"/>
    <mergeCell ref="G36:I36"/>
    <mergeCell ref="J177:L177"/>
    <mergeCell ref="H179:H184"/>
    <mergeCell ref="L8:L11"/>
    <mergeCell ref="E8:E11"/>
    <mergeCell ref="G8:G11"/>
    <mergeCell ref="I226:I228"/>
    <mergeCell ref="J115:J117"/>
    <mergeCell ref="F151:F153"/>
    <mergeCell ref="H151:H153"/>
    <mergeCell ref="J31:J33"/>
    <mergeCell ref="J23:L23"/>
    <mergeCell ref="L115:L117"/>
    <mergeCell ref="H50:H51"/>
    <mergeCell ref="I16:I17"/>
    <mergeCell ref="L100:L105"/>
    <mergeCell ref="L215:L218"/>
    <mergeCell ref="J213:L213"/>
    <mergeCell ref="K115:K117"/>
    <mergeCell ref="G38:G46"/>
    <mergeCell ref="L179:L184"/>
    <mergeCell ref="F8:F11"/>
    <mergeCell ref="G107:I107"/>
    <mergeCell ref="H160:H163"/>
    <mergeCell ref="H121:H122"/>
    <mergeCell ref="E215:E218"/>
    <mergeCell ref="F146:F147"/>
    <mergeCell ref="G196:I196"/>
    <mergeCell ref="J29:J30"/>
    <mergeCell ref="G293:I293"/>
    <mergeCell ref="H109:H111"/>
    <mergeCell ref="H84:H86"/>
    <mergeCell ref="K202:K207"/>
    <mergeCell ref="F217:F218"/>
    <mergeCell ref="J173:J175"/>
    <mergeCell ref="J63:L63"/>
    <mergeCell ref="G84:G86"/>
    <mergeCell ref="I84:I86"/>
    <mergeCell ref="J58:L58"/>
    <mergeCell ref="L69:L70"/>
    <mergeCell ref="F181:F184"/>
    <mergeCell ref="G72:I72"/>
    <mergeCell ref="J165:L165"/>
    <mergeCell ref="K38:K46"/>
    <mergeCell ref="J149:L149"/>
    <mergeCell ref="I202:I207"/>
    <mergeCell ref="J196:L196"/>
    <mergeCell ref="I268:I269"/>
    <mergeCell ref="I38:I46"/>
    <mergeCell ref="J81:J83"/>
    <mergeCell ref="J100:J105"/>
    <mergeCell ref="J137:L137"/>
    <mergeCell ref="L295:L299"/>
    <mergeCell ref="L31:L33"/>
    <mergeCell ref="J128:L128"/>
    <mergeCell ref="J192:L192"/>
    <mergeCell ref="H282:H287"/>
    <mergeCell ref="G29:G30"/>
    <mergeCell ref="C74:C76"/>
    <mergeCell ref="C232:C233"/>
    <mergeCell ref="I69:I70"/>
    <mergeCell ref="H268:H269"/>
    <mergeCell ref="K69:K70"/>
    <mergeCell ref="G149:I149"/>
    <mergeCell ref="B224:D224"/>
    <mergeCell ref="H226:H228"/>
    <mergeCell ref="J226:J228"/>
    <mergeCell ref="K31:K33"/>
    <mergeCell ref="G112:G114"/>
    <mergeCell ref="I112:I114"/>
    <mergeCell ref="J278:J281"/>
    <mergeCell ref="F238:F251"/>
    <mergeCell ref="J260:J264"/>
    <mergeCell ref="L278:L281"/>
    <mergeCell ref="E278:E281"/>
    <mergeCell ref="G213:I213"/>
    <mergeCell ref="I29:I30"/>
    <mergeCell ref="E50:E51"/>
    <mergeCell ref="G50:G51"/>
    <mergeCell ref="I50:I51"/>
    <mergeCell ref="J200:L200"/>
    <mergeCell ref="E273:E274"/>
    <mergeCell ref="G273:G274"/>
    <mergeCell ref="F167:F172"/>
    <mergeCell ref="I115:I117"/>
    <mergeCell ref="I173:I175"/>
    <mergeCell ref="H238:H251"/>
    <mergeCell ref="L260:L264"/>
    <mergeCell ref="J256:J259"/>
    <mergeCell ref="L256:L259"/>
    <mergeCell ref="H38:H46"/>
    <mergeCell ref="J38:J46"/>
    <mergeCell ref="L273:L274"/>
    <mergeCell ref="G154:G156"/>
    <mergeCell ref="H232:H233"/>
    <mergeCell ref="E226:E228"/>
    <mergeCell ref="J79:L79"/>
    <mergeCell ref="G115:G117"/>
    <mergeCell ref="J268:J269"/>
    <mergeCell ref="F109:F111"/>
    <mergeCell ref="K295:K299"/>
    <mergeCell ref="H16:H17"/>
    <mergeCell ref="F179:F180"/>
    <mergeCell ref="G158:I158"/>
    <mergeCell ref="C112:C114"/>
    <mergeCell ref="F173:F175"/>
    <mergeCell ref="H173:H175"/>
    <mergeCell ref="J74:J76"/>
    <mergeCell ref="L74:L76"/>
    <mergeCell ref="F130:F135"/>
    <mergeCell ref="K16:K17"/>
    <mergeCell ref="E139:E142"/>
    <mergeCell ref="L139:L142"/>
    <mergeCell ref="J254:L254"/>
    <mergeCell ref="G128:I128"/>
    <mergeCell ref="G220:I220"/>
    <mergeCell ref="C295:C299"/>
    <mergeCell ref="E295:E299"/>
    <mergeCell ref="C179:C184"/>
    <mergeCell ref="G186:I186"/>
    <mergeCell ref="E130:E135"/>
    <mergeCell ref="G130:G135"/>
    <mergeCell ref="F139:F142"/>
    <mergeCell ref="C215:C218"/>
    <mergeCell ref="F50:F51"/>
    <mergeCell ref="G200:I200"/>
    <mergeCell ref="G271:I271"/>
    <mergeCell ref="G94:I94"/>
    <mergeCell ref="C167:C172"/>
    <mergeCell ref="H69:H70"/>
    <mergeCell ref="E256:E264"/>
    <mergeCell ref="G226:G228"/>
    <mergeCell ref="I260:I264"/>
    <mergeCell ref="E146:E147"/>
    <mergeCell ref="E121:E122"/>
    <mergeCell ref="C90:C92"/>
    <mergeCell ref="E90:E92"/>
    <mergeCell ref="C188:C190"/>
    <mergeCell ref="F256:F259"/>
    <mergeCell ref="H256:H259"/>
    <mergeCell ref="I100:I105"/>
    <mergeCell ref="G260:G264"/>
    <mergeCell ref="E84:E86"/>
    <mergeCell ref="G87:G89"/>
    <mergeCell ref="I87:I89"/>
    <mergeCell ref="G254:I254"/>
    <mergeCell ref="G230:I230"/>
    <mergeCell ref="E268:E269"/>
    <mergeCell ref="C282:C287"/>
    <mergeCell ref="C60:C61"/>
    <mergeCell ref="K160:K163"/>
    <mergeCell ref="C268:C269"/>
    <mergeCell ref="J67:L67"/>
    <mergeCell ref="J230:L230"/>
    <mergeCell ref="C273:C274"/>
    <mergeCell ref="J202:J207"/>
    <mergeCell ref="J188:J190"/>
    <mergeCell ref="L188:L190"/>
    <mergeCell ref="J235:L235"/>
    <mergeCell ref="G165:I165"/>
    <mergeCell ref="G215:G218"/>
    <mergeCell ref="E100:E105"/>
    <mergeCell ref="C256:C259"/>
    <mergeCell ref="G235:I235"/>
    <mergeCell ref="E237:E252"/>
    <mergeCell ref="H167:H172"/>
    <mergeCell ref="K273:K274"/>
    <mergeCell ref="J167:J172"/>
    <mergeCell ref="G146:G147"/>
    <mergeCell ref="K173:K175"/>
    <mergeCell ref="B149:D149"/>
    <mergeCell ref="K121:K122"/>
    <mergeCell ref="F60:F61"/>
    <mergeCell ref="K215:K218"/>
    <mergeCell ref="K167:K172"/>
    <mergeCell ref="J69:J70"/>
    <mergeCell ref="C146:C147"/>
    <mergeCell ref="C160:C163"/>
    <mergeCell ref="E167:E175"/>
    <mergeCell ref="C121:C122"/>
    <mergeCell ref="J146:J147"/>
    <mergeCell ref="C154:C156"/>
    <mergeCell ref="G119:I119"/>
    <mergeCell ref="F121:F122"/>
    <mergeCell ref="G151:G153"/>
    <mergeCell ref="I151:I153"/>
    <mergeCell ref="I188:I190"/>
    <mergeCell ref="B177:D177"/>
    <mergeCell ref="G202:G207"/>
    <mergeCell ref="E60:E61"/>
    <mergeCell ref="J124:L124"/>
    <mergeCell ref="L154:L156"/>
    <mergeCell ref="G60:G61"/>
    <mergeCell ref="I60:I61"/>
    <mergeCell ref="L130:L135"/>
    <mergeCell ref="I81:I83"/>
    <mergeCell ref="G289:I289"/>
    <mergeCell ref="J276:L276"/>
    <mergeCell ref="L238:L251"/>
    <mergeCell ref="F260:F264"/>
    <mergeCell ref="H278:H281"/>
    <mergeCell ref="H260:H264"/>
    <mergeCell ref="G144:I144"/>
    <mergeCell ref="I282:I287"/>
    <mergeCell ref="K282:K287"/>
    <mergeCell ref="J282:J287"/>
    <mergeCell ref="K179:K184"/>
    <mergeCell ref="L282:L287"/>
    <mergeCell ref="F154:F156"/>
    <mergeCell ref="L146:L147"/>
    <mergeCell ref="K238:K251"/>
    <mergeCell ref="G256:G259"/>
    <mergeCell ref="K278:K281"/>
    <mergeCell ref="J289:L289"/>
    <mergeCell ref="L173:L175"/>
    <mergeCell ref="K232:K233"/>
    <mergeCell ref="G268:G269"/>
    <mergeCell ref="G192:I192"/>
    <mergeCell ref="J158:L158"/>
    <mergeCell ref="J179:J184"/>
    <mergeCell ref="G63:I63"/>
    <mergeCell ref="I74:I76"/>
    <mergeCell ref="F215:F216"/>
    <mergeCell ref="K74:K76"/>
    <mergeCell ref="H74:H76"/>
    <mergeCell ref="L81:L83"/>
    <mergeCell ref="K81:K83"/>
    <mergeCell ref="G2:I2"/>
    <mergeCell ref="L268:L269"/>
    <mergeCell ref="K29:K30"/>
    <mergeCell ref="G232:G233"/>
    <mergeCell ref="I232:I233"/>
    <mergeCell ref="L160:L163"/>
    <mergeCell ref="L121:L122"/>
    <mergeCell ref="J90:J92"/>
    <mergeCell ref="L90:L92"/>
    <mergeCell ref="F226:F228"/>
    <mergeCell ref="G124:I124"/>
    <mergeCell ref="G31:G33"/>
    <mergeCell ref="I31:I33"/>
    <mergeCell ref="K87:K89"/>
    <mergeCell ref="F84:F86"/>
    <mergeCell ref="J238:J251"/>
    <mergeCell ref="L167:L172"/>
    <mergeCell ref="K90:K92"/>
    <mergeCell ref="J16:J17"/>
    <mergeCell ref="J87:J89"/>
    <mergeCell ref="C8:C11"/>
    <mergeCell ref="K188:K190"/>
    <mergeCell ref="J48:L48"/>
    <mergeCell ref="F202:F204"/>
    <mergeCell ref="J224:L224"/>
    <mergeCell ref="H31:H33"/>
    <mergeCell ref="J72:L72"/>
    <mergeCell ref="C29:C30"/>
    <mergeCell ref="L87:L89"/>
    <mergeCell ref="J209:L209"/>
    <mergeCell ref="F31:F33"/>
    <mergeCell ref="J109:J111"/>
    <mergeCell ref="L109:L111"/>
    <mergeCell ref="K60:K61"/>
    <mergeCell ref="L84:L86"/>
    <mergeCell ref="L16:L17"/>
    <mergeCell ref="K84:K86"/>
    <mergeCell ref="J186:L186"/>
    <mergeCell ref="F115:F117"/>
    <mergeCell ref="H115:H117"/>
    <mergeCell ref="J107:L107"/>
    <mergeCell ref="L38:L46"/>
    <mergeCell ref="E81:E83"/>
    <mergeCell ref="J6:L6"/>
    <mergeCell ref="G137:I137"/>
    <mergeCell ref="J98:L98"/>
    <mergeCell ref="E38:E46"/>
    <mergeCell ref="G53:I53"/>
    <mergeCell ref="F81:F83"/>
    <mergeCell ref="H81:H83"/>
    <mergeCell ref="E29:E30"/>
    <mergeCell ref="L60:L61"/>
    <mergeCell ref="F29:F30"/>
    <mergeCell ref="H8:H11"/>
    <mergeCell ref="G100:G105"/>
    <mergeCell ref="J8:J11"/>
    <mergeCell ref="J27:L27"/>
    <mergeCell ref="J119:L119"/>
    <mergeCell ref="L112:L114"/>
    <mergeCell ref="G6:I6"/>
    <mergeCell ref="I8:I11"/>
    <mergeCell ref="K8:K11"/>
    <mergeCell ref="E16:E17"/>
    <mergeCell ref="F112:F114"/>
    <mergeCell ref="H112:H114"/>
    <mergeCell ref="J36:L36"/>
    <mergeCell ref="J19:L19"/>
    <mergeCell ref="C50:C51"/>
    <mergeCell ref="C130:C135"/>
    <mergeCell ref="J112:J114"/>
    <mergeCell ref="G67:I67"/>
    <mergeCell ref="G48:I48"/>
    <mergeCell ref="C16:C17"/>
    <mergeCell ref="C87:C89"/>
    <mergeCell ref="G79:I79"/>
    <mergeCell ref="C69:C70"/>
    <mergeCell ref="C115:C117"/>
    <mergeCell ref="C38:C46"/>
    <mergeCell ref="G27:I27"/>
    <mergeCell ref="G98:I98"/>
    <mergeCell ref="J130:J135"/>
    <mergeCell ref="E74:E76"/>
    <mergeCell ref="G74:G76"/>
    <mergeCell ref="E69:E70"/>
    <mergeCell ref="G69:G70"/>
    <mergeCell ref="J50:J51"/>
    <mergeCell ref="J121:J122"/>
    <mergeCell ref="C31:C33"/>
    <mergeCell ref="E87:E89"/>
    <mergeCell ref="G23:I23"/>
    <mergeCell ref="F38:F46"/>
    <mergeCell ref="G14:I14"/>
    <mergeCell ref="L29:L30"/>
    <mergeCell ref="I215:I218"/>
    <mergeCell ref="G167:G172"/>
    <mergeCell ref="J273:J274"/>
    <mergeCell ref="I167:I172"/>
    <mergeCell ref="F100:F105"/>
    <mergeCell ref="H100:H105"/>
    <mergeCell ref="F205:F207"/>
    <mergeCell ref="J151:J153"/>
    <mergeCell ref="L151:L153"/>
    <mergeCell ref="L226:L228"/>
    <mergeCell ref="K112:K114"/>
    <mergeCell ref="L50:L51"/>
    <mergeCell ref="G16:G17"/>
    <mergeCell ref="G160:G163"/>
    <mergeCell ref="H215:H218"/>
    <mergeCell ref="G177:I177"/>
    <mergeCell ref="J271:L271"/>
    <mergeCell ref="K50:K51"/>
    <mergeCell ref="J94:L94"/>
    <mergeCell ref="I273:I274"/>
    <mergeCell ref="H273:H274"/>
    <mergeCell ref="K109:K111"/>
    <mergeCell ref="I179:I184"/>
    <mergeCell ref="E31:E33"/>
    <mergeCell ref="G295:G299"/>
    <mergeCell ref="I295:I299"/>
    <mergeCell ref="I130:I135"/>
    <mergeCell ref="K130:K135"/>
    <mergeCell ref="H139:H142"/>
    <mergeCell ref="J139:J142"/>
    <mergeCell ref="F74:F76"/>
    <mergeCell ref="F188:F190"/>
    <mergeCell ref="H188:H190"/>
    <mergeCell ref="J220:L220"/>
    <mergeCell ref="G224:I224"/>
    <mergeCell ref="H295:H299"/>
    <mergeCell ref="E232:E233"/>
    <mergeCell ref="G209:I209"/>
    <mergeCell ref="E282:E287"/>
    <mergeCell ref="G282:G287"/>
    <mergeCell ref="F282:F287"/>
    <mergeCell ref="J293:L293"/>
    <mergeCell ref="I278:I281"/>
    <mergeCell ref="J295:J299"/>
  </mergeCells>
  <printOptions horizontalCentered="1" verticalCentered="1"/>
  <pageMargins left="0.25" right="0.25" top="0.75" bottom="0.75" header="0.3" footer="0.3"/>
  <pageSetup scale="53" fitToHeight="0" orientation="landscape"/>
  <headerFooter>
    <oddFooter>&amp;C&amp;"Calibri"&amp;11 &amp;K000000Page &amp;P of &amp; 27
_x000D_# Grupo Lamosa - Información de uso público&amp;R
&amp;G</oddFooter>
  </headerFooter>
  <rowBreaks count="9" manualBreakCount="9">
    <brk id="92" max="12" man="1"/>
    <brk id="136" max="12" man="1"/>
    <brk id="191" max="12" man="1"/>
    <brk id="233" max="12" man="1"/>
    <brk id="270" max="12" man="1"/>
    <brk id="314" max="12" man="1"/>
    <brk id="347" max="12" man="1"/>
    <brk id="391" max="12" man="1"/>
    <brk id="440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B1:J278"/>
  <sheetViews>
    <sheetView view="pageBreakPreview" zoomScale="75" zoomScaleNormal="70" zoomScaleSheetLayoutView="63" workbookViewId="0">
      <selection activeCell="B3" sqref="B3"/>
    </sheetView>
  </sheetViews>
  <sheetFormatPr defaultColWidth="9.42578125" defaultRowHeight="14.45"/>
  <cols>
    <col min="1" max="1" width="3.42578125" style="646" customWidth="1"/>
    <col min="2" max="2" width="117.42578125" style="646" customWidth="1"/>
    <col min="3" max="3" width="16.42578125" style="646" bestFit="1" customWidth="1"/>
    <col min="4" max="4" width="5.42578125" style="646" customWidth="1"/>
    <col min="5" max="5" width="3.5703125" style="646" customWidth="1"/>
    <col min="6" max="6" width="105.42578125" style="646" bestFit="1" customWidth="1"/>
    <col min="7" max="7" width="9.42578125" style="646" customWidth="1"/>
    <col min="8" max="8" width="3.42578125" style="646" customWidth="1"/>
    <col min="9" max="9" width="7.42578125" style="646" bestFit="1" customWidth="1"/>
    <col min="10" max="10" width="13.42578125" style="646" bestFit="1" customWidth="1"/>
    <col min="11" max="11" width="9.42578125" style="646" customWidth="1"/>
    <col min="12" max="16384" width="9.42578125" style="646"/>
  </cols>
  <sheetData>
    <row r="1" spans="2:10">
      <c r="B1" s="643"/>
      <c r="C1" s="643"/>
      <c r="D1" s="643"/>
      <c r="E1" s="643"/>
      <c r="F1" s="643"/>
      <c r="G1" s="644"/>
      <c r="H1" s="643"/>
      <c r="I1" s="645"/>
      <c r="J1" s="643"/>
    </row>
    <row r="2" spans="2:10" ht="18.600000000000001" customHeight="1">
      <c r="B2" s="647" t="s">
        <v>3354</v>
      </c>
      <c r="C2" s="648"/>
      <c r="D2" s="648"/>
      <c r="E2" s="648"/>
      <c r="F2" s="648"/>
      <c r="G2" s="648"/>
      <c r="H2" s="648"/>
      <c r="I2" s="649"/>
      <c r="J2" s="648"/>
    </row>
    <row r="3" spans="2:10">
      <c r="B3" s="650"/>
      <c r="C3" s="650"/>
      <c r="D3" s="650"/>
      <c r="E3" s="650"/>
      <c r="F3" s="650"/>
      <c r="G3" s="648"/>
      <c r="H3" s="650"/>
      <c r="I3" s="649"/>
      <c r="J3" s="650"/>
    </row>
    <row r="4" spans="2:10">
      <c r="B4" s="651" t="s">
        <v>3355</v>
      </c>
      <c r="C4" s="651"/>
      <c r="D4" s="651"/>
      <c r="E4" s="651"/>
      <c r="F4" s="650"/>
      <c r="G4" s="652"/>
      <c r="H4" s="653"/>
      <c r="I4" s="649"/>
      <c r="J4" s="653"/>
    </row>
    <row r="5" spans="2:10">
      <c r="B5" s="653" t="s">
        <v>3356</v>
      </c>
      <c r="C5" s="653"/>
      <c r="D5" s="653"/>
      <c r="E5" s="653"/>
      <c r="F5" s="653"/>
      <c r="G5" s="652"/>
      <c r="H5" s="653"/>
      <c r="I5" s="649"/>
      <c r="J5" s="653"/>
    </row>
    <row r="6" spans="2:10">
      <c r="B6" s="1665" t="s">
        <v>3357</v>
      </c>
      <c r="C6" s="1761"/>
      <c r="D6" s="1761"/>
      <c r="E6" s="1761"/>
      <c r="F6" s="653"/>
      <c r="G6" s="652"/>
      <c r="H6" s="653"/>
      <c r="I6" s="649"/>
      <c r="J6" s="653"/>
    </row>
    <row r="7" spans="2:10">
      <c r="B7" s="650" t="s">
        <v>3358</v>
      </c>
      <c r="C7" s="650"/>
      <c r="D7" s="650"/>
      <c r="E7" s="650"/>
      <c r="F7" s="654"/>
      <c r="G7" s="652"/>
      <c r="H7" s="653"/>
      <c r="I7" s="655"/>
      <c r="J7" s="653"/>
    </row>
    <row r="8" spans="2:10">
      <c r="B8" s="650"/>
      <c r="C8" s="650"/>
      <c r="D8" s="650"/>
      <c r="E8" s="650"/>
      <c r="F8" s="656" t="s">
        <v>3359</v>
      </c>
      <c r="G8" s="657"/>
      <c r="H8" s="648"/>
      <c r="I8" s="658"/>
      <c r="J8" s="650" t="s">
        <v>3360</v>
      </c>
    </row>
    <row r="9" spans="2:10">
      <c r="B9" s="656" t="s">
        <v>3361</v>
      </c>
      <c r="C9" s="659" t="s">
        <v>3362</v>
      </c>
      <c r="D9" s="659"/>
      <c r="E9" s="650"/>
      <c r="F9" s="650" t="s">
        <v>3363</v>
      </c>
      <c r="G9" s="648"/>
      <c r="H9" s="650"/>
      <c r="I9" s="649"/>
      <c r="J9" s="650"/>
    </row>
    <row r="10" spans="2:10">
      <c r="B10" s="650" t="s">
        <v>3364</v>
      </c>
      <c r="C10" s="650"/>
      <c r="D10" s="650"/>
      <c r="E10" s="650"/>
      <c r="F10" s="650" t="s">
        <v>3365</v>
      </c>
      <c r="G10" s="648"/>
      <c r="H10" s="650"/>
      <c r="I10" s="649"/>
      <c r="J10" s="650"/>
    </row>
    <row r="11" spans="2:10">
      <c r="B11" s="650" t="s">
        <v>3366</v>
      </c>
      <c r="C11" s="650"/>
      <c r="D11" s="650"/>
      <c r="E11" s="650"/>
      <c r="F11" s="650" t="s">
        <v>3367</v>
      </c>
      <c r="G11" s="648"/>
      <c r="H11" s="650"/>
      <c r="I11" s="649"/>
      <c r="J11" s="650"/>
    </row>
    <row r="12" spans="2:10">
      <c r="B12" s="650" t="s">
        <v>3368</v>
      </c>
      <c r="C12" s="660"/>
      <c r="D12" s="660"/>
      <c r="E12" s="660"/>
      <c r="F12" s="661" t="s">
        <v>3369</v>
      </c>
      <c r="G12" s="662"/>
      <c r="H12" s="650"/>
      <c r="I12" s="649"/>
      <c r="J12" s="650"/>
    </row>
    <row r="13" spans="2:10">
      <c r="B13" s="650" t="s">
        <v>3370</v>
      </c>
      <c r="C13" s="660"/>
      <c r="D13" s="660"/>
      <c r="E13" s="660"/>
      <c r="F13" s="661" t="s">
        <v>3371</v>
      </c>
      <c r="G13" s="662"/>
      <c r="H13" s="650"/>
      <c r="I13" s="649"/>
      <c r="J13" s="650"/>
    </row>
    <row r="14" spans="2:10">
      <c r="B14" s="650" t="s">
        <v>3372</v>
      </c>
      <c r="C14" s="650"/>
      <c r="D14" s="650"/>
      <c r="E14" s="650"/>
      <c r="F14" s="661" t="s">
        <v>3373</v>
      </c>
      <c r="G14" s="662"/>
      <c r="H14" s="650"/>
      <c r="I14" s="649"/>
      <c r="J14" s="650"/>
    </row>
    <row r="15" spans="2:10">
      <c r="B15" s="661" t="s">
        <v>3374</v>
      </c>
      <c r="C15" s="650"/>
      <c r="D15" s="650"/>
      <c r="E15" s="650"/>
      <c r="F15" s="650" t="s">
        <v>3375</v>
      </c>
      <c r="G15" s="648"/>
      <c r="H15" s="650"/>
      <c r="I15" s="649"/>
      <c r="J15" s="650"/>
    </row>
    <row r="16" spans="2:10">
      <c r="B16" s="650"/>
      <c r="C16" s="650"/>
      <c r="D16" s="650"/>
      <c r="E16" s="650"/>
      <c r="F16" s="661" t="s">
        <v>3376</v>
      </c>
      <c r="G16" s="662"/>
      <c r="H16" s="650"/>
      <c r="I16" s="649"/>
      <c r="J16" s="650"/>
    </row>
    <row r="17" spans="2:10">
      <c r="B17" s="656" t="s">
        <v>3377</v>
      </c>
      <c r="C17" s="659" t="s">
        <v>3362</v>
      </c>
      <c r="D17" s="659"/>
      <c r="E17" s="650"/>
      <c r="F17" s="650" t="s">
        <v>3378</v>
      </c>
      <c r="G17" s="648"/>
      <c r="H17" s="650"/>
      <c r="I17" s="649"/>
      <c r="J17" s="650"/>
    </row>
    <row r="18" spans="2:10">
      <c r="B18" s="650" t="s">
        <v>3379</v>
      </c>
      <c r="C18" s="648"/>
      <c r="D18" s="648"/>
      <c r="E18" s="648"/>
      <c r="F18" s="650" t="s">
        <v>3380</v>
      </c>
      <c r="G18" s="662"/>
      <c r="H18" s="650"/>
      <c r="I18" s="649"/>
      <c r="J18" s="650"/>
    </row>
    <row r="19" spans="2:10">
      <c r="B19" s="650" t="s">
        <v>3381</v>
      </c>
      <c r="C19" s="650"/>
      <c r="D19" s="650"/>
      <c r="E19" s="650"/>
      <c r="F19" s="661"/>
      <c r="G19" s="662"/>
      <c r="H19" s="650"/>
      <c r="I19" s="649"/>
      <c r="J19" s="650"/>
    </row>
    <row r="20" spans="2:10">
      <c r="B20" s="650" t="s">
        <v>3382</v>
      </c>
      <c r="C20" s="650"/>
      <c r="D20" s="650"/>
      <c r="E20" s="650"/>
      <c r="F20" s="656" t="s">
        <v>3383</v>
      </c>
      <c r="G20" s="657"/>
      <c r="H20" s="650"/>
      <c r="I20" s="658"/>
      <c r="J20" s="650" t="s">
        <v>3360</v>
      </c>
    </row>
    <row r="21" spans="2:10">
      <c r="B21" s="650" t="s">
        <v>3384</v>
      </c>
      <c r="C21" s="650"/>
      <c r="D21" s="650"/>
      <c r="E21" s="650"/>
      <c r="F21" s="650" t="s">
        <v>3385</v>
      </c>
      <c r="G21" s="648"/>
      <c r="H21" s="650"/>
      <c r="I21" s="649"/>
      <c r="J21" s="650"/>
    </row>
    <row r="22" spans="2:10">
      <c r="B22" s="650" t="s">
        <v>3386</v>
      </c>
      <c r="C22" s="650"/>
      <c r="D22" s="650"/>
      <c r="E22" s="650"/>
      <c r="F22" s="661" t="s">
        <v>3387</v>
      </c>
      <c r="G22" s="662"/>
      <c r="H22" s="650"/>
      <c r="I22" s="649"/>
      <c r="J22" s="650"/>
    </row>
    <row r="23" spans="2:10">
      <c r="B23" s="650" t="s">
        <v>3388</v>
      </c>
      <c r="C23" s="650"/>
      <c r="D23" s="650"/>
      <c r="E23" s="650"/>
      <c r="F23" s="650" t="s">
        <v>3389</v>
      </c>
      <c r="G23" s="648"/>
      <c r="H23" s="650"/>
      <c r="I23" s="649"/>
      <c r="J23" s="650"/>
    </row>
    <row r="24" spans="2:10">
      <c r="B24" s="650" t="s">
        <v>3390</v>
      </c>
      <c r="C24" s="650"/>
      <c r="D24" s="650"/>
      <c r="E24" s="650"/>
      <c r="F24" s="661" t="s">
        <v>3391</v>
      </c>
      <c r="G24" s="662"/>
      <c r="H24" s="650"/>
      <c r="I24" s="649"/>
      <c r="J24" s="650"/>
    </row>
    <row r="25" spans="2:10">
      <c r="B25" s="650" t="s">
        <v>3392</v>
      </c>
      <c r="C25" s="650"/>
      <c r="D25" s="650"/>
      <c r="E25" s="650"/>
      <c r="F25" s="650" t="s">
        <v>3393</v>
      </c>
      <c r="G25" s="648"/>
      <c r="H25" s="650"/>
      <c r="I25" s="649"/>
      <c r="J25" s="650"/>
    </row>
    <row r="26" spans="2:10">
      <c r="B26" s="650" t="s">
        <v>3394</v>
      </c>
      <c r="C26" s="650"/>
      <c r="D26" s="650"/>
      <c r="E26" s="650"/>
      <c r="F26" s="650" t="s">
        <v>3395</v>
      </c>
      <c r="G26" s="648"/>
      <c r="H26" s="650"/>
      <c r="I26" s="649"/>
      <c r="J26" s="650"/>
    </row>
    <row r="27" spans="2:10">
      <c r="B27" s="661" t="s">
        <v>3396</v>
      </c>
      <c r="C27" s="650"/>
      <c r="D27" s="650"/>
      <c r="E27" s="650"/>
      <c r="F27" s="650" t="s">
        <v>3397</v>
      </c>
      <c r="G27" s="648"/>
      <c r="H27" s="650"/>
      <c r="I27" s="649"/>
      <c r="J27" s="650"/>
    </row>
    <row r="28" spans="2:10">
      <c r="B28" s="650" t="s">
        <v>3398</v>
      </c>
      <c r="C28" s="654"/>
      <c r="D28" s="654"/>
      <c r="E28" s="654"/>
      <c r="F28" s="661" t="s">
        <v>3399</v>
      </c>
      <c r="G28" s="662"/>
      <c r="H28" s="650"/>
      <c r="I28" s="649"/>
      <c r="J28" s="650"/>
    </row>
    <row r="29" spans="2:10">
      <c r="B29" s="650" t="s">
        <v>3400</v>
      </c>
      <c r="C29" s="654"/>
      <c r="D29" s="654"/>
      <c r="E29" s="654"/>
      <c r="F29" s="661" t="s">
        <v>3401</v>
      </c>
      <c r="G29" s="648"/>
      <c r="H29" s="650"/>
      <c r="I29" s="649"/>
      <c r="J29" s="650"/>
    </row>
    <row r="30" spans="2:10">
      <c r="B30" s="661" t="s">
        <v>3402</v>
      </c>
      <c r="C30" s="653"/>
      <c r="D30" s="653"/>
      <c r="E30" s="650"/>
      <c r="F30" s="661" t="s">
        <v>3403</v>
      </c>
      <c r="G30" s="662"/>
      <c r="H30" s="650"/>
      <c r="I30" s="649"/>
      <c r="J30" s="650"/>
    </row>
    <row r="31" spans="2:10">
      <c r="B31" s="653"/>
      <c r="C31" s="648"/>
      <c r="D31" s="648"/>
      <c r="E31" s="650"/>
      <c r="F31" s="661"/>
      <c r="G31" s="662"/>
      <c r="H31" s="650"/>
      <c r="I31" s="649"/>
      <c r="J31" s="650"/>
    </row>
    <row r="32" spans="2:10">
      <c r="B32" s="656" t="s">
        <v>3404</v>
      </c>
      <c r="C32" s="659" t="s">
        <v>3362</v>
      </c>
      <c r="D32" s="659"/>
      <c r="E32" s="650"/>
      <c r="F32" s="656" t="s">
        <v>3405</v>
      </c>
      <c r="G32" s="657"/>
      <c r="H32" s="648"/>
      <c r="I32" s="658"/>
      <c r="J32" s="650" t="s">
        <v>3360</v>
      </c>
    </row>
    <row r="33" spans="2:10">
      <c r="B33" s="650" t="s">
        <v>3406</v>
      </c>
      <c r="C33" s="650"/>
      <c r="D33" s="650"/>
      <c r="E33" s="650"/>
      <c r="F33" s="650" t="s">
        <v>3407</v>
      </c>
      <c r="G33" s="648"/>
      <c r="H33" s="650"/>
      <c r="I33" s="649"/>
      <c r="J33" s="650"/>
    </row>
    <row r="34" spans="2:10">
      <c r="B34" s="650" t="s">
        <v>3408</v>
      </c>
      <c r="C34" s="650"/>
      <c r="D34" s="650"/>
      <c r="E34" s="650"/>
      <c r="F34" s="650" t="s">
        <v>3409</v>
      </c>
      <c r="G34" s="648"/>
      <c r="H34" s="650"/>
      <c r="I34" s="649"/>
      <c r="J34" s="650"/>
    </row>
    <row r="35" spans="2:10">
      <c r="B35" s="650" t="s">
        <v>3410</v>
      </c>
      <c r="C35" s="650"/>
      <c r="D35" s="650"/>
      <c r="E35" s="650"/>
      <c r="F35" s="650" t="s">
        <v>3411</v>
      </c>
      <c r="G35" s="648"/>
      <c r="H35" s="650"/>
      <c r="I35" s="649"/>
      <c r="J35" s="650"/>
    </row>
    <row r="36" spans="2:10">
      <c r="B36" s="650" t="s">
        <v>3412</v>
      </c>
      <c r="C36" s="650"/>
      <c r="D36" s="650"/>
      <c r="E36" s="650"/>
      <c r="F36" s="650" t="s">
        <v>3413</v>
      </c>
      <c r="G36" s="648"/>
      <c r="H36" s="650"/>
      <c r="I36" s="649"/>
      <c r="J36" s="650"/>
    </row>
    <row r="37" spans="2:10">
      <c r="B37" s="650" t="s">
        <v>3414</v>
      </c>
      <c r="C37" s="650"/>
      <c r="D37" s="650"/>
      <c r="E37" s="650"/>
      <c r="F37" s="650" t="s">
        <v>3415</v>
      </c>
      <c r="G37" s="648"/>
      <c r="H37" s="650"/>
      <c r="I37" s="649"/>
      <c r="J37" s="650"/>
    </row>
    <row r="38" spans="2:10">
      <c r="B38" s="661" t="s">
        <v>3416</v>
      </c>
      <c r="C38" s="650"/>
      <c r="D38" s="650"/>
      <c r="E38" s="650"/>
      <c r="F38" s="650" t="s">
        <v>3417</v>
      </c>
      <c r="G38" s="648"/>
      <c r="H38" s="650"/>
      <c r="I38" s="649"/>
      <c r="J38" s="650"/>
    </row>
    <row r="39" spans="2:10">
      <c r="B39" s="650" t="s">
        <v>3418</v>
      </c>
      <c r="C39" s="650"/>
      <c r="D39" s="650"/>
      <c r="E39" s="650"/>
      <c r="G39" s="648"/>
      <c r="H39" s="650"/>
      <c r="I39" s="649"/>
      <c r="J39" s="650"/>
    </row>
    <row r="40" spans="2:10">
      <c r="B40" s="650" t="s">
        <v>3419</v>
      </c>
      <c r="C40" s="650"/>
      <c r="D40" s="650"/>
      <c r="E40" s="650"/>
      <c r="F40" s="650" t="s">
        <v>3420</v>
      </c>
      <c r="G40" s="648"/>
      <c r="H40" s="650"/>
      <c r="I40" s="649"/>
      <c r="J40" s="650"/>
    </row>
    <row r="41" spans="2:10">
      <c r="B41" s="650" t="s">
        <v>3421</v>
      </c>
      <c r="C41" s="650"/>
      <c r="D41" s="650"/>
      <c r="E41" s="653"/>
      <c r="F41" s="650" t="s">
        <v>3422</v>
      </c>
      <c r="G41" s="648"/>
      <c r="H41" s="650"/>
      <c r="I41" s="649"/>
      <c r="J41" s="650"/>
    </row>
    <row r="42" spans="2:10">
      <c r="B42" s="650"/>
      <c r="C42" s="650"/>
      <c r="D42" s="650"/>
      <c r="F42" s="650" t="s">
        <v>3423</v>
      </c>
      <c r="G42" s="648"/>
      <c r="H42" s="650"/>
      <c r="I42" s="649"/>
      <c r="J42" s="650"/>
    </row>
    <row r="43" spans="2:10">
      <c r="B43" s="656" t="s">
        <v>3424</v>
      </c>
      <c r="C43" s="650"/>
      <c r="D43" s="650"/>
      <c r="F43" s="650" t="s">
        <v>3425</v>
      </c>
      <c r="G43" s="648"/>
      <c r="H43" s="650"/>
      <c r="I43" s="649"/>
      <c r="J43" s="650"/>
    </row>
    <row r="44" spans="2:10">
      <c r="B44" s="650" t="s">
        <v>3426</v>
      </c>
      <c r="C44" s="650" t="s">
        <v>3362</v>
      </c>
      <c r="D44" s="650"/>
      <c r="E44" s="650"/>
      <c r="F44" s="650" t="s">
        <v>3427</v>
      </c>
      <c r="G44" s="648"/>
      <c r="H44" s="650"/>
      <c r="I44" s="649"/>
      <c r="J44" s="650"/>
    </row>
    <row r="45" spans="2:10">
      <c r="B45" s="661" t="s">
        <v>3428</v>
      </c>
      <c r="C45" s="650"/>
      <c r="D45" s="650"/>
      <c r="E45" s="650"/>
      <c r="F45" s="656" t="s">
        <v>3429</v>
      </c>
      <c r="G45" s="648"/>
      <c r="H45" s="650"/>
      <c r="I45" s="649"/>
      <c r="J45" s="650"/>
    </row>
    <row r="46" spans="2:10">
      <c r="B46" s="654" t="s">
        <v>3430</v>
      </c>
      <c r="C46" s="650"/>
      <c r="D46" s="650"/>
      <c r="E46" s="650"/>
      <c r="F46" s="656" t="s">
        <v>3431</v>
      </c>
      <c r="G46" s="657"/>
      <c r="H46" s="650"/>
      <c r="I46" s="649"/>
      <c r="J46" s="650"/>
    </row>
    <row r="47" spans="2:10">
      <c r="B47" s="654" t="s">
        <v>3432</v>
      </c>
      <c r="C47" s="650"/>
      <c r="D47" s="650"/>
      <c r="E47" s="650"/>
      <c r="G47" s="657"/>
      <c r="H47" s="650"/>
      <c r="I47" s="649"/>
      <c r="J47" s="650"/>
    </row>
    <row r="48" spans="2:10">
      <c r="B48" s="654" t="s">
        <v>3433</v>
      </c>
      <c r="C48" s="650"/>
      <c r="D48" s="650"/>
      <c r="E48" s="650"/>
      <c r="G48" s="657"/>
      <c r="H48" s="650"/>
      <c r="I48" s="649"/>
      <c r="J48" s="650"/>
    </row>
    <row r="49" spans="2:10">
      <c r="B49" s="650" t="s">
        <v>3434</v>
      </c>
      <c r="C49" s="650"/>
      <c r="D49" s="650"/>
      <c r="E49" s="650"/>
      <c r="F49" s="656" t="s">
        <v>3435</v>
      </c>
      <c r="G49" s="657"/>
      <c r="H49" s="650"/>
      <c r="I49" s="658"/>
      <c r="J49" s="650" t="s">
        <v>3360</v>
      </c>
    </row>
    <row r="50" spans="2:10">
      <c r="B50" s="650" t="s">
        <v>3436</v>
      </c>
      <c r="C50" s="650"/>
      <c r="D50" s="650"/>
      <c r="E50" s="650"/>
      <c r="F50" s="646" t="s">
        <v>3437</v>
      </c>
    </row>
    <row r="51" spans="2:10">
      <c r="B51" s="650" t="s">
        <v>3438</v>
      </c>
      <c r="C51" s="650"/>
      <c r="D51" s="650"/>
      <c r="E51" s="650"/>
      <c r="F51" s="646" t="s">
        <v>3439</v>
      </c>
    </row>
    <row r="52" spans="2:10">
      <c r="B52" s="661" t="s">
        <v>3440</v>
      </c>
      <c r="C52" s="650"/>
      <c r="D52" s="650"/>
      <c r="E52" s="650"/>
      <c r="F52" s="646" t="s">
        <v>3441</v>
      </c>
    </row>
    <row r="53" spans="2:10">
      <c r="B53" s="650" t="s">
        <v>3442</v>
      </c>
      <c r="C53" s="650"/>
      <c r="D53" s="650"/>
      <c r="E53" s="650"/>
      <c r="F53" s="646" t="s">
        <v>3443</v>
      </c>
    </row>
    <row r="54" spans="2:10">
      <c r="B54" s="661" t="s">
        <v>3444</v>
      </c>
      <c r="C54" s="650"/>
      <c r="D54" s="650"/>
      <c r="E54" s="650"/>
      <c r="F54" s="663" t="s">
        <v>3445</v>
      </c>
    </row>
    <row r="55" spans="2:10">
      <c r="B55" s="650" t="s">
        <v>3446</v>
      </c>
      <c r="C55" s="650"/>
      <c r="D55" s="650"/>
      <c r="E55" s="650"/>
      <c r="F55" s="663"/>
    </row>
    <row r="56" spans="2:10">
      <c r="B56" s="661" t="s">
        <v>3447</v>
      </c>
      <c r="C56" s="650"/>
      <c r="D56" s="650"/>
      <c r="E56" s="650"/>
      <c r="F56" s="646" t="s">
        <v>3448</v>
      </c>
    </row>
    <row r="57" spans="2:10">
      <c r="B57" s="661" t="s">
        <v>3449</v>
      </c>
      <c r="C57" s="648"/>
      <c r="D57" s="648"/>
      <c r="E57" s="648"/>
      <c r="F57" s="650" t="s">
        <v>3450</v>
      </c>
    </row>
    <row r="58" spans="2:10">
      <c r="B58" s="661" t="s">
        <v>3451</v>
      </c>
      <c r="C58" s="648"/>
      <c r="D58" s="648"/>
      <c r="E58" s="648"/>
      <c r="F58" s="650"/>
    </row>
    <row r="59" spans="2:10">
      <c r="B59" s="650"/>
      <c r="C59" s="650"/>
      <c r="D59" s="650"/>
      <c r="E59" s="650"/>
      <c r="F59" s="650"/>
    </row>
    <row r="60" spans="2:10">
      <c r="B60" s="656" t="s">
        <v>3452</v>
      </c>
      <c r="C60" s="650"/>
      <c r="D60" s="650"/>
      <c r="E60" s="650"/>
      <c r="F60" s="656" t="s">
        <v>3453</v>
      </c>
      <c r="G60" s="652"/>
      <c r="H60" s="653"/>
      <c r="I60" s="658"/>
      <c r="J60" s="650" t="s">
        <v>3360</v>
      </c>
    </row>
    <row r="61" spans="2:10">
      <c r="B61" s="650" t="s">
        <v>3454</v>
      </c>
      <c r="C61" s="650" t="s">
        <v>3362</v>
      </c>
      <c r="D61" s="650"/>
      <c r="E61" s="650"/>
      <c r="F61" s="650" t="s">
        <v>3455</v>
      </c>
      <c r="G61" s="652"/>
      <c r="H61" s="653"/>
      <c r="I61" s="649"/>
      <c r="J61" s="653"/>
    </row>
    <row r="62" spans="2:10">
      <c r="B62" s="650" t="s">
        <v>3456</v>
      </c>
      <c r="C62" s="650"/>
      <c r="D62" s="650"/>
      <c r="E62" s="650"/>
      <c r="F62" s="650" t="s">
        <v>3457</v>
      </c>
      <c r="G62" s="652"/>
      <c r="H62" s="653"/>
      <c r="I62" s="649"/>
      <c r="J62" s="653"/>
    </row>
    <row r="63" spans="2:10">
      <c r="B63" s="650" t="s">
        <v>3458</v>
      </c>
      <c r="C63" s="650"/>
      <c r="D63" s="650"/>
      <c r="E63" s="650"/>
      <c r="F63" s="650"/>
      <c r="G63" s="652"/>
      <c r="H63" s="653"/>
      <c r="I63" s="649"/>
      <c r="J63" s="653"/>
    </row>
    <row r="64" spans="2:10">
      <c r="B64" s="650" t="s">
        <v>3459</v>
      </c>
      <c r="C64" s="650"/>
      <c r="D64" s="650"/>
      <c r="E64" s="650"/>
      <c r="F64" s="650"/>
      <c r="G64" s="652"/>
      <c r="H64" s="653"/>
      <c r="I64" s="649"/>
      <c r="J64" s="653"/>
    </row>
    <row r="65" spans="2:10">
      <c r="B65" s="650" t="s">
        <v>3460</v>
      </c>
      <c r="C65" s="650"/>
      <c r="D65" s="650"/>
      <c r="E65" s="650"/>
      <c r="F65" s="650"/>
      <c r="G65" s="652"/>
      <c r="H65" s="653"/>
      <c r="I65" s="649"/>
      <c r="J65" s="653"/>
    </row>
    <row r="66" spans="2:10">
      <c r="B66" s="656" t="s">
        <v>3461</v>
      </c>
      <c r="C66" s="650"/>
      <c r="D66" s="650"/>
      <c r="E66" s="650"/>
      <c r="F66" s="650"/>
      <c r="G66" s="652"/>
      <c r="H66" s="653"/>
      <c r="I66" s="649"/>
      <c r="J66" s="653"/>
    </row>
    <row r="67" spans="2:10">
      <c r="B67" s="656" t="s">
        <v>3462</v>
      </c>
      <c r="C67" s="650"/>
      <c r="D67" s="650"/>
      <c r="E67" s="650"/>
      <c r="F67" s="650"/>
      <c r="G67" s="652"/>
      <c r="H67" s="653"/>
      <c r="I67" s="649"/>
      <c r="J67" s="653"/>
    </row>
    <row r="68" spans="2:10" hidden="1">
      <c r="B68" s="648"/>
      <c r="C68" s="650"/>
      <c r="D68" s="650"/>
      <c r="E68" s="650"/>
      <c r="F68" s="650"/>
      <c r="G68" s="652"/>
      <c r="H68" s="653"/>
      <c r="I68" s="649"/>
      <c r="J68" s="653"/>
    </row>
    <row r="69" spans="2:10" hidden="1">
      <c r="B69" s="648"/>
      <c r="C69" s="650"/>
      <c r="D69" s="650"/>
      <c r="E69" s="650"/>
      <c r="F69" s="650"/>
      <c r="G69" s="652"/>
      <c r="H69" s="653"/>
      <c r="I69" s="649"/>
      <c r="J69" s="653"/>
    </row>
    <row r="70" spans="2:10" ht="18.95" customHeight="1" thickBot="1">
      <c r="B70" s="664" t="s">
        <v>3463</v>
      </c>
      <c r="C70" s="656"/>
      <c r="D70" s="656"/>
      <c r="E70" s="656"/>
      <c r="F70" s="656"/>
      <c r="G70" s="656"/>
      <c r="H70" s="656"/>
    </row>
    <row r="71" spans="2:10">
      <c r="B71" s="665"/>
      <c r="C71" s="666"/>
      <c r="D71" s="667"/>
      <c r="E71" s="666"/>
      <c r="F71" s="666"/>
      <c r="G71" s="668"/>
    </row>
    <row r="72" spans="2:10">
      <c r="B72" s="669" t="s">
        <v>3464</v>
      </c>
      <c r="C72" s="650"/>
      <c r="D72" s="650"/>
      <c r="E72" s="650"/>
      <c r="F72" s="650"/>
      <c r="G72" s="670"/>
    </row>
    <row r="73" spans="2:10">
      <c r="B73" s="671"/>
      <c r="C73" s="672"/>
      <c r="D73" s="649"/>
      <c r="E73" s="672"/>
      <c r="F73" s="672"/>
      <c r="G73" s="673"/>
    </row>
    <row r="74" spans="2:10">
      <c r="B74" s="669" t="s">
        <v>3465</v>
      </c>
      <c r="C74" s="650"/>
      <c r="D74" s="650"/>
      <c r="E74" s="650"/>
      <c r="F74" s="650"/>
      <c r="G74" s="673"/>
    </row>
    <row r="75" spans="2:10">
      <c r="B75" s="671"/>
      <c r="C75" s="652"/>
      <c r="G75" s="673"/>
    </row>
    <row r="76" spans="2:10">
      <c r="B76" s="671" t="s">
        <v>3466</v>
      </c>
      <c r="C76" s="648"/>
      <c r="D76" s="672"/>
      <c r="E76" s="674" t="s">
        <v>3467</v>
      </c>
      <c r="F76" s="674"/>
      <c r="G76" s="673"/>
    </row>
    <row r="77" spans="2:10" ht="15" customHeight="1" thickBot="1">
      <c r="B77" s="675"/>
      <c r="C77" s="676"/>
      <c r="D77" s="676"/>
      <c r="E77" s="677"/>
      <c r="F77" s="676"/>
      <c r="G77" s="678"/>
    </row>
    <row r="78" spans="2:10" ht="24" customHeight="1">
      <c r="B78" s="679" t="s">
        <v>3468</v>
      </c>
      <c r="C78" s="680"/>
      <c r="D78" s="681"/>
      <c r="E78" s="682"/>
      <c r="F78" s="681"/>
      <c r="G78" s="653"/>
      <c r="H78" s="683"/>
    </row>
    <row r="79" spans="2:10" ht="23.45" customHeight="1">
      <c r="B79" s="956" t="s">
        <v>3469</v>
      </c>
      <c r="C79" s="684"/>
      <c r="D79" s="681"/>
      <c r="E79" s="682"/>
      <c r="G79" s="653"/>
      <c r="H79" s="683"/>
    </row>
    <row r="80" spans="2:10" ht="23.45" customHeight="1">
      <c r="B80" s="956" t="s">
        <v>3470</v>
      </c>
      <c r="C80" s="643"/>
      <c r="D80" s="643"/>
      <c r="E80" s="643"/>
      <c r="F80" s="643"/>
      <c r="G80" s="644"/>
      <c r="H80" s="643"/>
      <c r="I80" s="645"/>
      <c r="J80" s="643"/>
    </row>
    <row r="278" spans="6:6">
      <c r="F278" s="646" t="s">
        <v>99</v>
      </c>
    </row>
  </sheetData>
  <mergeCells count="1">
    <mergeCell ref="B6:E6"/>
  </mergeCells>
  <printOptions verticalCentered="1"/>
  <pageMargins left="0.25" right="0.25" top="0.45" bottom="0.75" header="0.3" footer="0.3"/>
  <pageSetup scale="44" orientation="landscape" r:id="rId1"/>
  <headerFooter>
    <oddFooter>&amp;C&amp;"Calibri"&amp;11 &amp;K000000_x000D_# Grupo Lamosa - Información de uso público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2db870-c0e5-46df-ac2e-e9e1d455e9b1" xsi:nil="true"/>
    <lcf76f155ced4ddcb4097134ff3c332f xmlns="380d7ec1-284e-4a3f-8771-f931b4fbb31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D40AD3B802034C840EFA3137697518" ma:contentTypeVersion="15" ma:contentTypeDescription="Crie um novo documento." ma:contentTypeScope="" ma:versionID="145b33a4deb994072d54d4177736986f">
  <xsd:schema xmlns:xsd="http://www.w3.org/2001/XMLSchema" xmlns:xs="http://www.w3.org/2001/XMLSchema" xmlns:p="http://schemas.microsoft.com/office/2006/metadata/properties" xmlns:ns2="380d7ec1-284e-4a3f-8771-f931b4fbb31c" xmlns:ns3="429de8ce-acd1-45ce-9021-5d155ec1b4d8" xmlns:ns4="2c2db870-c0e5-46df-ac2e-e9e1d455e9b1" targetNamespace="http://schemas.microsoft.com/office/2006/metadata/properties" ma:root="true" ma:fieldsID="5d4e9f41668bd1a3817f73f99a902777" ns2:_="" ns3:_="" ns4:_="">
    <xsd:import namespace="380d7ec1-284e-4a3f-8771-f931b4fbb31c"/>
    <xsd:import namespace="429de8ce-acd1-45ce-9021-5d155ec1b4d8"/>
    <xsd:import namespace="2c2db870-c0e5-46df-ac2e-e9e1d455e9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d7ec1-284e-4a3f-8771-f931b4fbb3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0de2348-0602-4115-a713-610d6bc45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de8ce-acd1-45ce-9021-5d155ec1b4d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db870-c0e5-46df-ac2e-e9e1d455e9b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7bfeb83-763d-416b-86b1-e0f4a1a4d0d1}" ma:internalName="TaxCatchAll" ma:showField="CatchAllData" ma:web="2c2db870-c0e5-46df-ac2e-e9e1d455e9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006479-0166-4C84-9018-B25A1526B0C1}"/>
</file>

<file path=customXml/itemProps2.xml><?xml version="1.0" encoding="utf-8"?>
<ds:datastoreItem xmlns:ds="http://schemas.openxmlformats.org/officeDocument/2006/customXml" ds:itemID="{AAF990A5-63FC-4BD2-A942-278DBD232C9C}"/>
</file>

<file path=customXml/itemProps3.xml><?xml version="1.0" encoding="utf-8"?>
<ds:datastoreItem xmlns:ds="http://schemas.openxmlformats.org/officeDocument/2006/customXml" ds:itemID="{B59A3A9E-C596-4AA5-8930-6FDAE0767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Berta Comanges</dc:creator>
  <cp:keywords/>
  <dc:description/>
  <cp:lastModifiedBy>Edson Jair Flores Castro</cp:lastModifiedBy>
  <cp:revision/>
  <dcterms:created xsi:type="dcterms:W3CDTF">2015-12-14T19:16:40Z</dcterms:created>
  <dcterms:modified xsi:type="dcterms:W3CDTF">2026-02-09T15:51:24Z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0x010100F7D40AD3B802034C840EFA3137697518</vt:lpwstr>
  </property>
  <property fmtid="{D5CDD505-2E9C-101B-9397-08002B2CF9AE}" pid="3" name="MSIP_Label_ca882d3f-cec2-4700-bda8-4419f6e0d78e_Enabled">
    <vt:lpwstr>true</vt:lpwstr>
  </property>
  <property fmtid="{D5CDD505-2E9C-101B-9397-08002B2CF9AE}" pid="4" name="MSIP_Label_ca882d3f-cec2-4700-bda8-4419f6e0d78e_SetDate">
    <vt:lpwstr>2022-05-02T00:42:19Z</vt:lpwstr>
  </property>
  <property fmtid="{D5CDD505-2E9C-101B-9397-08002B2CF9AE}" pid="5" name="MSIP_Label_ca882d3f-cec2-4700-bda8-4419f6e0d78e_Method">
    <vt:lpwstr>Privileged</vt:lpwstr>
  </property>
  <property fmtid="{D5CDD505-2E9C-101B-9397-08002B2CF9AE}" pid="6" name="MSIP_Label_ca882d3f-cec2-4700-bda8-4419f6e0d78e_Name">
    <vt:lpwstr>Grupo Lamosa - Información de uso publico</vt:lpwstr>
  </property>
  <property fmtid="{D5CDD505-2E9C-101B-9397-08002B2CF9AE}" pid="7" name="MSIP_Label_ca882d3f-cec2-4700-bda8-4419f6e0d78e_SiteId">
    <vt:lpwstr>876969de-3b40-4648-872a-0ebecb3489e6</vt:lpwstr>
  </property>
  <property fmtid="{D5CDD505-2E9C-101B-9397-08002B2CF9AE}" pid="8" name="MSIP_Label_ca882d3f-cec2-4700-bda8-4419f6e0d78e_ActionId">
    <vt:lpwstr>5f01e3bb-3af8-4fcc-b198-d051d64d077c</vt:lpwstr>
  </property>
  <property fmtid="{D5CDD505-2E9C-101B-9397-08002B2CF9AE}" pid="9" name="MSIP_Label_ca882d3f-cec2-4700-bda8-4419f6e0d78e_ContentBits">
    <vt:lpwstr>2</vt:lpwstr>
  </property>
  <property fmtid="{D5CDD505-2E9C-101B-9397-08002B2CF9AE}" pid="10" name="MediaServiceImageTags">
    <vt:lpwstr/>
  </property>
</Properties>
</file>